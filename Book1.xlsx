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945a5a9138ed540/Desktop/data analyst projects/excel_project/"/>
    </mc:Choice>
  </mc:AlternateContent>
  <xr:revisionPtr revIDLastSave="1" documentId="8_{A219BB5F-6791-41A0-9500-B9303ACEC20C}" xr6:coauthVersionLast="47" xr6:coauthVersionMax="47" xr10:uidLastSave="{5EA1012B-74D4-4331-9AFB-625D81B3640F}"/>
  <bookViews>
    <workbookView xWindow="-108" yWindow="-108" windowWidth="23256" windowHeight="12456" firstSheet="1" activeTab="5" xr2:uid="{933551EA-48F4-422A-8D77-5FCCFCEBBF15}"/>
  </bookViews>
  <sheets>
    <sheet name="data analyst projec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 analyst projects'!$A$1:$F$4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 r:id="rId7"/>
    <pivotCache cacheId="55" r:id="rId8"/>
    <pivotCache cacheId="58" r:id="rId9"/>
    <pivotCache cacheId="61" r:id="rId10"/>
    <pivotCache cacheId="64" r:id="rId11"/>
    <pivotCache cacheId="67" r:id="rId12"/>
    <pivotCache cacheId="70" r:id="rId13"/>
    <pivotCache cacheId="73" r:id="rId14"/>
  </pivotCaches>
  <fileRecoveryPr repairLoad="1"/>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analyst projects_dd644dc9-29a9-4799-9f7d-8ae5208b9679" name="data analyst projects" connection="Query - data analyst projects"/>
          <x15:modelTable id="customers_b57627f4-b6ac-4142-a8e1-3ef51f754ae9" name="customers" connection="Query - customers"/>
          <x15:modelTable id="orders_9fd3bfe4-fc62-4a03-aaae-5b452178c655" name="orders" connection="Query - orders"/>
          <x15:modelTable id="products_3733f98a-869a-4a62-a76d-5f4cf51d2e5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1E5E7F-50D6-431E-B49F-C498079FD3E9}" keepAlive="1" name="ModelConnection_ExternalData_1" description="Data Model" type="5" refreshedVersion="8" minRefreshableVersion="5" saveData="1">
    <dbPr connection="Data Model Connection" command="data analyst projects" commandType="3"/>
    <extLst>
      <ext xmlns:x15="http://schemas.microsoft.com/office/spreadsheetml/2010/11/main" uri="{DE250136-89BD-433C-8126-D09CA5730AF9}">
        <x15:connection id="" model="1"/>
      </ext>
    </extLst>
  </connection>
  <connection id="2" xr16:uid="{6F06FDE9-7152-42F8-81BD-69704C0A2A5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A6260F0-7FCD-4635-BA82-77761DCD2D6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4FE7E60-381A-4E28-99B1-56FCAE0D102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5057F33C-599E-4C8A-86BF-8764293C1306}" name="Query - customers" description="Connection to the 'customers' query in the workbook." type="100" refreshedVersion="8" minRefreshableVersion="5">
    <extLst>
      <ext xmlns:x15="http://schemas.microsoft.com/office/spreadsheetml/2010/11/main" uri="{DE250136-89BD-433C-8126-D09CA5730AF9}">
        <x15:connection id="89fb4140-bb74-498a-a761-e2eda45837b6"/>
      </ext>
    </extLst>
  </connection>
  <connection id="6" xr16:uid="{AA698191-9E46-4D6D-B309-BE983F40DB50}" name="Query - data analyst projects" description="Connection to the 'data analyst projects' query in the workbook." type="100" refreshedVersion="8" minRefreshableVersion="5">
    <extLst>
      <ext xmlns:x15="http://schemas.microsoft.com/office/spreadsheetml/2010/11/main" uri="{DE250136-89BD-433C-8126-D09CA5730AF9}">
        <x15:connection id="55b3f830-b83b-4465-bc1e-0b8b9da26067"/>
      </ext>
    </extLst>
  </connection>
  <connection id="7" xr16:uid="{D824340C-E199-4AAC-BB80-62D2C974079C}" name="Query - orders" description="Connection to the 'orders' query in the workbook." type="100" refreshedVersion="8" minRefreshableVersion="5">
    <extLst>
      <ext xmlns:x15="http://schemas.microsoft.com/office/spreadsheetml/2010/11/main" uri="{DE250136-89BD-433C-8126-D09CA5730AF9}">
        <x15:connection id="03808b4d-e862-446b-b7c3-ef7ef16cdb0d"/>
      </ext>
    </extLst>
  </connection>
  <connection id="8" xr16:uid="{4B3C9F15-66F7-421C-AB4F-7DC1533C99E6}" name="Query - products" description="Connection to the 'products' query in the workbook." type="100" refreshedVersion="8" minRefreshableVersion="5">
    <extLst>
      <ext xmlns:x15="http://schemas.microsoft.com/office/spreadsheetml/2010/11/main" uri="{DE250136-89BD-433C-8126-D09CA5730AF9}">
        <x15:connection id="059f3a15-a8cc-42ea-8381-f4fc30446ad5"/>
      </ext>
    </extLst>
  </connection>
  <connection id="9" xr16:uid="{684E802B-9BBD-43A4-997A-BFABE22B9B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<sst xmlns="http://schemas.openxmlformats.org/spreadsheetml/2006/main" count="6018" uniqueCount="951">
  <si>
    <t>Name</t>
  </si>
  <si>
    <t>Extension</t>
  </si>
  <si>
    <t>Date accessed</t>
  </si>
  <si>
    <t>Date modified</t>
  </si>
  <si>
    <t>Date created</t>
  </si>
  <si>
    <t>Folder Path</t>
  </si>
  <si>
    <t>customers.csv</t>
  </si>
  <si>
    <t>.csv</t>
  </si>
  <si>
    <t>C:\Users\Shiva Kumar\OneDrive\Desktop\data analyst projects\excel_project\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</si>
  <si>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</si>
  <si>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</si>
  <si>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</si>
  <si>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</si>
  <si>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</si>
  <si>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</si>
  <si>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</si>
  <si>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</si>
  <si>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</si>
  <si>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</si>
  <si>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</si>
  <si>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</si>
  <si>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</si>
  <si>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</si>
  <si>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</si>
  <si>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</si>
  <si>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</si>
  <si>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</si>
  <si>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</si>
  <si>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</si>
  <si>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</si>
  <si>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</si>
  <si>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</si>
  <si>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</si>
  <si>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</si>
  <si>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</si>
  <si>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</si>
  <si>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</si>
  <si>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</si>
  <si>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</si>
  <si>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</si>
  <si>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</si>
  <si>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</si>
  <si>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</si>
  <si>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</si>
  <si>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</si>
  <si>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</si>
  <si>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</si>
  <si>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</si>
  <si>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</si>
  <si>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</si>
  <si>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</si>
  <si>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</si>
  <si>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</si>
  <si>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</si>
  <si>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</si>
  <si>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</si>
  <si>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</si>
  <si>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</si>
  <si>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</si>
  <si>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</si>
  <si>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</si>
  <si>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</si>
  <si>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</si>
  <si>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</si>
  <si>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</si>
  <si>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</si>
  <si>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</si>
  <si>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</si>
  <si>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</si>
  <si>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</si>
  <si>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</si>
  <si>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</si>
  <si>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</si>
  <si>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</si>
  <si>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</si>
  <si>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</si>
  <si>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</si>
  <si>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</si>
  <si>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</si>
  <si>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</si>
  <si>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</si>
  <si>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</si>
  <si>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</si>
  <si>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</si>
  <si>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</si>
  <si>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</si>
  <si>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</si>
  <si>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</si>
  <si>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</si>
  <si>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</si>
  <si>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</si>
  <si>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</si>
  <si>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</si>
  <si>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</si>
  <si>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</si>
  <si>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</si>
  <si>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</si>
  <si>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</si>
  <si>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</si>
  <si>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</si>
  <si>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</si>
  <si>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</si>
  <si>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</si>
  <si>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</si>
  <si>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</si>
  <si>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</si>
  <si>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</si>
  <si>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</si>
  <si>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</si>
  <si>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</si>
  <si>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</si>
  <si>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</si>
  <si>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</si>
  <si>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</si>
  <si>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</si>
  <si>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</si>
  <si>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</si>
  <si>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</si>
  <si>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</si>
  <si>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</si>
  <si>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</si>
  <si>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</si>
  <si>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</si>
  <si>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</si>
  <si>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</si>
  <si>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</si>
  <si>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</si>
  <si>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</si>
  <si>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</si>
  <si>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</si>
  <si>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</si>
  <si>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</si>
  <si>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</si>
  <si>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</si>
  <si>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</si>
  <si>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</si>
  <si>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</si>
  <si>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</si>
  <si>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</si>
  <si>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</si>
  <si>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</si>
  <si>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</si>
  <si>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</si>
  <si>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</si>
  <si>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</si>
  <si>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</si>
  <si>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</si>
  <si>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</si>
  <si>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</si>
  <si>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</si>
  <si>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</si>
  <si>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</si>
  <si>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</si>
  <si>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</si>
  <si>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</si>
  <si>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</si>
  <si>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</si>
  <si>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</si>
  <si>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</si>
  <si>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</si>
  <si>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</si>
  <si>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</si>
  <si>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</si>
  <si>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</si>
  <si>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</si>
  <si>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</si>
  <si>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</si>
  <si>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</si>
  <si>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</si>
  <si>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</si>
  <si>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</si>
  <si>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</si>
  <si>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</si>
  <si>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</si>
  <si>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</si>
  <si>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</si>
  <si>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</si>
  <si>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</si>
  <si>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</si>
  <si>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</si>
  <si>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</si>
  <si>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</si>
  <si>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</si>
  <si>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</si>
  <si>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</si>
  <si>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</si>
  <si>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</si>
  <si>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</si>
  <si>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</si>
  <si>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</si>
  <si>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</si>
  <si>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</si>
  <si>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</si>
  <si>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</si>
  <si>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</si>
  <si>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</si>
  <si>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</si>
  <si>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</si>
  <si>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</si>
  <si>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</si>
  <si>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</si>
  <si>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</si>
  <si>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</si>
  <si>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</si>
  <si>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</si>
  <si>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</si>
  <si>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</si>
  <si>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</si>
  <si>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</si>
  <si>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</si>
  <si>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</si>
  <si>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</si>
  <si>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</si>
  <si>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</si>
  <si>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</si>
  <si>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</si>
  <si>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</si>
  <si>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</si>
  <si>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</si>
  <si>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</si>
  <si>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</si>
  <si>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</si>
  <si>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</si>
  <si>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</si>
  <si>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</si>
  <si>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</si>
  <si>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</si>
  <si>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</si>
  <si>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</si>
  <si>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</si>
  <si>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</si>
  <si>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</si>
  <si>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</si>
  <si>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</si>
  <si>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</si>
  <si>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</si>
  <si>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</si>
  <si>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</si>
  <si>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</si>
  <si>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</si>
  <si>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</si>
  <si>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</si>
  <si>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</si>
  <si>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</si>
  <si>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</si>
  <si>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</si>
  <si>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</si>
  <si>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</si>
  <si>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</si>
  <si>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</si>
  <si>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</si>
  <si>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</si>
  <si>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</si>
  <si>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</si>
  <si>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</si>
  <si>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</si>
  <si>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</si>
  <si>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</si>
  <si>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</si>
  <si>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</si>
  <si>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</si>
  <si>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</si>
  <si>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</si>
  <si>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</si>
  <si>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</si>
  <si>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</si>
  <si>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</si>
  <si>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</si>
  <si>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</si>
  <si>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</si>
  <si>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</si>
  <si>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</si>
  <si>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</si>
  <si>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</si>
  <si>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</si>
  <si>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</si>
  <si>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</si>
  <si>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</si>
  <si>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</si>
  <si>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</si>
  <si>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</si>
  <si>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</si>
  <si>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</si>
  <si>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</si>
  <si>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</si>
  <si>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</si>
  <si>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</si>
  <si>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</si>
  <si>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</si>
  <si>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</si>
  <si>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</si>
  <si>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</si>
  <si>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</si>
  <si>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</si>
  <si>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</si>
  <si>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</si>
  <si>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</si>
  <si>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</si>
  <si>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</si>
  <si>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</si>
  <si>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</si>
  <si>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</si>
  <si>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</si>
  <si>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</si>
  <si>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</si>
  <si>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</si>
  <si>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</si>
  <si>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</si>
  <si>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</si>
  <si>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</si>
  <si>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</si>
  <si>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</si>
  <si>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</si>
  <si>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</si>
  <si>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</si>
  <si>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</si>
  <si>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</si>
  <si>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</si>
  <si>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</si>
  <si>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</si>
  <si>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</si>
  <si>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</si>
  <si>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</si>
  <si>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</si>
  <si>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</si>
  <si>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</si>
  <si>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</si>
  <si>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</si>
  <si>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</si>
  <si>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</si>
  <si>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</si>
  <si>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</si>
  <si>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</si>
  <si>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</si>
  <si>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</si>
  <si>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</si>
  <si>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</si>
  <si>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</si>
  <si>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</si>
  <si>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</si>
  <si>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</si>
  <si>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</si>
  <si>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</si>
  <si>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</si>
  <si>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</si>
  <si>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</si>
  <si>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</si>
  <si>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</si>
  <si>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</si>
  <si>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</si>
  <si>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</si>
  <si>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</si>
  <si>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</si>
  <si>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</si>
  <si>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</si>
  <si>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</si>
  <si>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</si>
  <si>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</si>
  <si>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</si>
  <si>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</si>
  <si>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</si>
  <si>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</si>
  <si>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</si>
  <si>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</si>
  <si>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</si>
  <si>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</si>
  <si>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</si>
  <si>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</si>
  <si>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</si>
  <si>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</si>
  <si>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</si>
  <si>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</si>
  <si>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</si>
  <si>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</si>
  <si>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</si>
  <si>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</si>
  <si>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</si>
  <si>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</si>
  <si>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</si>
  <si>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</si>
  <si>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</si>
  <si>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</si>
  <si>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</si>
  <si>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</si>
  <si>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</si>
  <si>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</si>
  <si>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</si>
  <si>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</si>
  <si>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</si>
  <si>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</si>
  <si>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</si>
  <si>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</si>
  <si>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</si>
  <si>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</si>
  <si>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</si>
  <si>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</si>
  <si>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</si>
  <si>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</si>
  <si>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</si>
  <si>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</si>
  <si>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</si>
  <si>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</si>
  <si>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</si>
  <si>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</si>
  <si>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</si>
  <si>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</si>
  <si>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</si>
  <si>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</si>
  <si>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</si>
  <si>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</si>
  <si>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</si>
  <si>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</si>
  <si>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</si>
  <si>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</si>
  <si>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</si>
  <si>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</si>
  <si>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</si>
  <si>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</si>
  <si>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</si>
  <si>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</si>
  <si>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</si>
  <si>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</si>
  <si>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</si>
  <si>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</si>
  <si>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</si>
  <si>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</si>
  <si>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</si>
  <si>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</si>
  <si>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</si>
  <si>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</si>
  <si>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</si>
  <si>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</si>
  <si>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</si>
  <si>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</si>
  <si>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</si>
  <si>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</si>
  <si>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</si>
  <si>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</si>
  <si>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</si>
  <si>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</si>
  <si>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</si>
  <si>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</si>
  <si>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</si>
  <si>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</si>
  <si>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</si>
  <si>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</si>
  <si>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</si>
  <si>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</si>
  <si>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</si>
  <si>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</si>
  <si>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</si>
  <si>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</si>
  <si>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</si>
  <si>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</si>
  <si>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</si>
  <si>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</si>
  <si>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</si>
  <si>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</si>
  <si>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</si>
  <si>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</si>
  <si>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</si>
  <si>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</si>
  <si>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</si>
  <si>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</si>
  <si>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</si>
  <si>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</si>
  <si>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</si>
  <si>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</si>
  <si>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</si>
  <si>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</si>
  <si>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</si>
  <si>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</si>
  <si>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</si>
  <si>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</si>
  <si>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</si>
  <si>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</si>
  <si>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</si>
  <si>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</si>
  <si>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</si>
  <si>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</si>
  <si>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</si>
  <si>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</si>
  <si>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</si>
  <si>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</si>
  <si>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</si>
  <si>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</si>
  <si>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</si>
  <si>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</si>
  <si>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</si>
  <si>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</si>
  <si>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</si>
  <si>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</si>
  <si>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</si>
  <si>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</si>
  <si>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</si>
  <si>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</si>
  <si>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</si>
  <si>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</si>
  <si>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</si>
  <si>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</si>
  <si>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</si>
  <si>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</si>
  <si>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</si>
  <si>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</si>
  <si>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</si>
  <si>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</si>
  <si>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</si>
  <si>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</si>
  <si>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</si>
  <si>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</si>
  <si>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</si>
  <si>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</si>
  <si>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</si>
  <si>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</si>
  <si>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</si>
  <si>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</si>
  <si>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</si>
  <si>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</si>
  <si>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</si>
  <si>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</si>
  <si>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</si>
  <si>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</si>
  <si>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</si>
  <si>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</si>
  <si>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</si>
  <si>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</si>
  <si>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</si>
  <si>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</si>
  <si>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</si>
  <si>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</si>
  <si>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</si>
  <si>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</si>
  <si>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</si>
  <si>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</si>
  <si>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</si>
  <si>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</si>
  <si>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</si>
  <si>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</si>
  <si>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</si>
  <si>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</si>
  <si>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</si>
  <si>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</si>
  <si>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</si>
  <si>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</si>
  <si>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</si>
  <si>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</si>
  <si>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</si>
  <si>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</si>
  <si>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</si>
  <si>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</si>
  <si>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</si>
  <si>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</si>
  <si>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</si>
  <si>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</si>
  <si>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</si>
  <si>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</si>
  <si>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</si>
  <si>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</si>
  <si>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</si>
  <si>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</si>
  <si>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</si>
  <si>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</si>
  <si>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</si>
  <si>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</si>
  <si>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</si>
  <si>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</si>
  <si>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</si>
  <si>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</si>
  <si>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</si>
  <si>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</si>
  <si>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</si>
  <si>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</si>
  <si>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</si>
  <si>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</si>
  <si>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</si>
  <si>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</si>
  <si>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</si>
  <si>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</si>
  <si>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</si>
  <si>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</si>
  <si>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</si>
  <si>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</si>
  <si>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</si>
  <si>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</si>
  <si>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</si>
  <si>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</si>
  <si>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</si>
  <si>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</si>
  <si>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</si>
  <si>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</si>
  <si>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</si>
  <si>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</si>
  <si>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</si>
  <si>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</si>
  <si>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</si>
  <si>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</si>
  <si>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</si>
  <si>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</si>
  <si>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</si>
  <si>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</si>
  <si>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</si>
  <si>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</si>
  <si>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</si>
  <si>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</si>
  <si>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</si>
  <si>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</si>
  <si>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</si>
  <si>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</si>
  <si>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</si>
  <si>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</si>
  <si>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</si>
  <si>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</si>
  <si>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</si>
  <si>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</si>
  <si>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</si>
  <si>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</si>
  <si>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</si>
  <si>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Hour(delivered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</si>
  <si>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</si>
  <si>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</si>
  <si>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</si>
  <si>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</si>
  <si>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</si>
  <si>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</si>
  <si>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</si>
  <si>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</si>
  <si>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</si>
  <si>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</si>
  <si>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</si>
  <si>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</si>
  <si>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</si>
  <si>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</si>
  <si>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</si>
  <si>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</si>
  <si>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</si>
  <si>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</si>
  <si>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</si>
  <si>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</si>
  <si>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</si>
  <si>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</si>
  <si>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</si>
  <si>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</si>
  <si>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</si>
  <si>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</si>
  <si>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</si>
  <si>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</si>
  <si>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</si>
  <si>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</si>
  <si>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</si>
  <si>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</si>
  <si>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</si>
  <si>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</si>
  <si>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</si>
  <si>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</si>
  <si>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</si>
  <si>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</si>
  <si>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</si>
  <si>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</si>
  <si>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</si>
  <si>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</si>
  <si>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</si>
  <si>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</si>
  <si>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</si>
  <si>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</si>
  <si>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</si>
  <si>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</si>
  <si>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</si>
  <si>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</si>
  <si>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</si>
  <si>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</si>
  <si>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</si>
  <si>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</si>
  <si>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</si>
  <si>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</si>
  <si>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</si>
  <si>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</si>
  <si>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</si>
  <si>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</si>
  <si>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</si>
  <si>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</si>
  <si>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</si>
  <si>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</si>
  <si>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</si>
  <si>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</si>
  <si>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</si>
  <si>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</si>
  <si>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</si>
  <si>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</si>
  <si>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</si>
  <si>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</si>
  <si>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</si>
  <si>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</si>
  <si>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</si>
  <si>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</si>
  <si>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</si>
  <si>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</si>
  <si>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</si>
  <si>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</si>
  <si>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</si>
  <si>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</si>
  <si>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</si>
  <si>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</si>
  <si>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</si>
  <si>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</si>
  <si>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</si>
  <si>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</si>
  <si>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</si>
  <si>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</si>
  <si>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</si>
  <si>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</si>
  <si>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</si>
  <si>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</si>
  <si>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</si>
  <si>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</si>
  <si>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</si>
  <si>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</si>
  <si>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</si>
  <si>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</si>
  <si>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</si>
  <si>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</si>
  <si>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</si>
  <si>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</si>
  <si>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</si>
  <si>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</si>
  <si>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</si>
  <si>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</si>
  <si>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</si>
  <si>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</si>
  <si>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</si>
  <si>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</si>
  <si>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</si>
  <si>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</si>
  <si>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</si>
  <si>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</si>
  <si>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</si>
  <si>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</si>
  <si>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</si>
  <si>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</si>
  <si>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</si>
  <si>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</si>
  <si>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</si>
  <si>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</si>
  <si>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</si>
  <si>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</si>
  <si>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</si>
  <si>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</si>
  <si>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</si>
  <si>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</si>
  <si>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</si>
  <si>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</si>
  <si>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</si>
  <si>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</si>
  <si>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</si>
  <si>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</si>
  <si>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</si>
  <si>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</si>
  <si>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</si>
  <si>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</si>
  <si>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</si>
  <si>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</si>
  <si>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</si>
  <si>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</si>
  <si>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</si>
  <si>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</si>
  <si>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</si>
  <si>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</si>
  <si>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</si>
  <si>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</si>
  <si>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</si>
  <si>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</si>
  <si>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</si>
  <si>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</si>
  <si>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</si>
  <si>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</si>
  <si>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</si>
  <si>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</si>
  <si>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</si>
  <si>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</si>
  <si>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</si>
  <si>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</si>
  <si>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</si>
  <si>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</si>
  <si>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</si>
  <si>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</si>
  <si>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</si>
  <si>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</si>
  <si>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</si>
  <si>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</si>
  <si>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</si>
  <si>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</si>
  <si>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</si>
  <si>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</si>
  <si>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</si>
  <si>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</si>
  <si>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</si>
  <si>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</si>
  <si>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</si>
  <si>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</si>
  <si>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</si>
  <si>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</si>
  <si>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</si>
  <si>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</si>
  <si>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</si>
  <si>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</si>
  <si>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</si>
  <si>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</si>
  <si>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</si>
  <si>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</si>
  <si>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</si>
  <si>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</si>
  <si>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</si>
  <si>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</si>
  <si>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</si>
  <si>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</si>
  <si>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</si>
  <si>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</si>
  <si>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</si>
  <si>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</si>
  <si>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</si>
  <si>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</si>
  <si>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</si>
  <si>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</si>
  <si>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</si>
  <si>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</si>
  <si>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</si>
  <si>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</si>
  <si>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</si>
  <si>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</si>
  <si>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</si>
  <si>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</si>
  <si>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</si>
  <si>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</si>
  <si>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</si>
  <si>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</si>
  <si>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</si>
  <si>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</si>
  <si>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</si>
  <si>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</si>
  <si>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</si>
  <si>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</si>
  <si>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</si>
  <si>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</si>
  <si>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</si>
  <si>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</si>
  <si>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</si>
  <si>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</si>
  <si>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</si>
  <si>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</si>
  <si>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</si>
  <si>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</si>
  <si>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</si>
  <si>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</si>
  <si>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</si>
  <si>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</si>
  <si>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</si>
  <si>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</si>
  <si>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</si>
  <si>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</si>
  <si>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</si>
  <si>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</si>
  <si>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</si>
  <si>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</si>
  <si>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</si>
  <si>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</si>
  <si>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</si>
  <si>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</si>
  <si>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</si>
  <si>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</si>
  <si>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</si>
  <si>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</si>
  <si>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</si>
  <si>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</si>
  <si>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</si>
  <si>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</si>
  <si>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</si>
  <si>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</si>
  <si>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</si>
  <si>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</si>
  <si>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</si>
  <si>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</si>
  <si>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</si>
  <si>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</si>
  <si>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</si>
  <si>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</si>
  <si>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</si>
  <si>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</si>
  <si>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</si>
  <si>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</si>
  <si>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</si>
  <si>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</si>
  <si>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</si>
  <si>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</si>
  <si>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</si>
  <si>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</si>
  <si>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</si>
  <si>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</si>
  <si>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</si>
  <si>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</si>
  <si>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</si>
  <si>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</si>
  <si>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</si>
  <si>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</si>
  <si>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</si>
  <si>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</si>
  <si>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</si>
  <si>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</si>
  <si>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</si>
  <si>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</si>
  <si>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</si>
  <si>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</si>
  <si>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</si>
  <si>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</si>
  <si>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</si>
  <si>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</si>
  <si>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</si>
  <si>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</si>
  <si>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</si>
  <si>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</si>
  <si>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</si>
  <si>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</si>
  <si>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</si>
  <si>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</si>
  <si>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</si>
  <si>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</si>
  <si>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</si>
  <si>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</si>
  <si>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</si>
  <si>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</si>
  <si>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</si>
  <si>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</si>
  <si>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</si>
  <si>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</si>
  <si>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</si>
  <si>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</si>
  <si>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</si>
  <si>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</si>
  <si>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</si>
  <si>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</si>
  <si>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</si>
  <si>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</si>
  <si>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</si>
  <si>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</si>
  <si>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</si>
  <si>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</si>
  <si>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</si>
  <si>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Count of Order_ID</t>
  </si>
  <si>
    <t>strongly negative  = 1</t>
  </si>
  <si>
    <t>strongly positive  = 1</t>
  </si>
  <si>
    <t>neutral = near zero</t>
  </si>
  <si>
    <t>Total of Order_ID</t>
  </si>
  <si>
    <t>Average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</si>
</sst>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2" borderId="0" xfId="0" applyFill="1" applyAlignment="1">
      <alignment horizontal="center"/>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Sheet1!$H$25</c:f>
              <c:strCache>
                <c:ptCount val="1"/>
                <c:pt idx="0">
                  <c:v>Total</c:v>
                </c:pt>
              </c:strCache>
            </c:strRef>
          </c:tx>
          <c:spPr>
            <a:solidFill>
              <a:schemeClr val="accent1"/>
            </a:solidFill>
            <a:ln>
              <a:noFill/>
            </a:ln>
            <a:effectLst/>
          </c:spPr>
          <c:invertIfNegative val="0"/>
          <c:cat>
            <c:strRef>
              <c:f>Sheet1!$G$26:$G$33</c:f>
              <c:strCache>
                <c:ptCount val="7"/>
                <c:pt idx="0">
                  <c:v>All Occasions</c:v>
                </c:pt>
                <c:pt idx="1">
                  <c:v>Anniversary</c:v>
                </c:pt>
                <c:pt idx="2">
                  <c:v>Birthday</c:v>
                </c:pt>
                <c:pt idx="3">
                  <c:v>Diwali</c:v>
                </c:pt>
                <c:pt idx="4">
                  <c:v>Holi</c:v>
                </c:pt>
                <c:pt idx="5">
                  <c:v>Raksha Bandhan</c:v>
                </c:pt>
                <c:pt idx="6">
                  <c:v>Valentine's Day</c:v>
                </c:pt>
              </c:strCache>
            </c:strRef>
          </c:cat>
          <c:val>
            <c:numRef>
              <c:f>Sheet1!$H$26:$H$33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CDD6-44B0-8491-C985FB8F0A98}"/>
            </c:ext>
          </c:extLst>
        </c:ser>
        <c:dLbls>
          <c:showLegendKey val="0"/>
          <c:showVal val="0"/>
          <c:showCatName val="0"/>
          <c:showSerName val="0"/>
          <c:showPercent val="0"/>
          <c:showBubbleSize val="0"/>
        </c:dLbls>
        <c:gapWidth val="219"/>
        <c:overlap val="-27"/>
        <c:axId val="943970464"/>
        <c:axId val="943912864"/>
      </c:barChart>
      <c:catAx>
        <c:axId val="9439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12864"/>
        <c:crosses val="autoZero"/>
        <c:auto val="1"/>
        <c:lblAlgn val="ctr"/>
        <c:lblOffset val="100"/>
        <c:noMultiLvlLbl val="0"/>
      </c:catAx>
      <c:valAx>
        <c:axId val="94391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7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1857519826150765"/>
          <c:y val="4.9655166978001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449256342957"/>
          <c:y val="0.24939596092155147"/>
          <c:w val="0.66069203849518809"/>
          <c:h val="0.48688721201516477"/>
        </c:manualLayout>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Sheet1!$A$21:$A$26</c:f>
              <c:strCache>
                <c:ptCount val="5"/>
                <c:pt idx="0">
                  <c:v>Colors</c:v>
                </c:pt>
                <c:pt idx="1">
                  <c:v>Mugs</c:v>
                </c:pt>
                <c:pt idx="2">
                  <c:v>Raksha Bandhan</c:v>
                </c:pt>
                <c:pt idx="3">
                  <c:v>Soft Toys</c:v>
                </c:pt>
                <c:pt idx="4">
                  <c:v>Sweets</c:v>
                </c:pt>
              </c:strCache>
            </c:strRef>
          </c:cat>
          <c:val>
            <c:numRef>
              <c:f>Sheet1!$B$21:$B$26</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1-55E5-4C82-84C0-B8FBF8CE99A0}"/>
            </c:ext>
          </c:extLst>
        </c:ser>
        <c:dLbls>
          <c:showLegendKey val="0"/>
          <c:showVal val="0"/>
          <c:showCatName val="0"/>
          <c:showSerName val="0"/>
          <c:showPercent val="0"/>
          <c:showBubbleSize val="0"/>
        </c:dLbls>
        <c:gapWidth val="219"/>
        <c:overlap val="-27"/>
        <c:axId val="1043534640"/>
        <c:axId val="1043535120"/>
      </c:barChart>
      <c:catAx>
        <c:axId val="10435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35120"/>
        <c:crosses val="autoZero"/>
        <c:auto val="1"/>
        <c:lblAlgn val="ctr"/>
        <c:lblOffset val="100"/>
        <c:noMultiLvlLbl val="0"/>
      </c:catAx>
      <c:valAx>
        <c:axId val="104353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429223744292237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1-DB5D-4B6A-BD16-AC5A6D59A524}"/>
            </c:ext>
          </c:extLst>
        </c:ser>
        <c:dLbls>
          <c:showLegendKey val="0"/>
          <c:showVal val="0"/>
          <c:showCatName val="0"/>
          <c:showSerName val="0"/>
          <c:showPercent val="0"/>
          <c:showBubbleSize val="0"/>
        </c:dLbls>
        <c:smooth val="0"/>
        <c:axId val="943954144"/>
        <c:axId val="943945024"/>
      </c:lineChart>
      <c:catAx>
        <c:axId val="9439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45024"/>
        <c:crosses val="autoZero"/>
        <c:auto val="1"/>
        <c:lblAlgn val="ctr"/>
        <c:lblOffset val="100"/>
        <c:noMultiLvlLbl val="0"/>
      </c:catAx>
      <c:valAx>
        <c:axId val="94394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00460808876157"/>
          <c:y val="0.24476633129192185"/>
          <c:w val="0.44322506561679792"/>
          <c:h val="0.39155949256342959"/>
        </c:manualLayout>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Exercitationem Pack</c:v>
                </c:pt>
                <c:pt idx="1">
                  <c:v>Expedita Gift</c:v>
                </c:pt>
                <c:pt idx="2">
                  <c:v>Fugit Set</c:v>
                </c:pt>
                <c:pt idx="3">
                  <c:v>Magnam Set</c:v>
                </c:pt>
                <c:pt idx="4">
                  <c:v>Nihil Box</c:v>
                </c:pt>
              </c:strCache>
            </c:strRef>
          </c:cat>
          <c:val>
            <c:numRef>
              <c:f>Sheet1!$E$8:$E$13</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37D3-4317-8E29-080D1AB30ED0}"/>
            </c:ext>
          </c:extLst>
        </c:ser>
        <c:dLbls>
          <c:showLegendKey val="0"/>
          <c:showVal val="0"/>
          <c:showCatName val="0"/>
          <c:showSerName val="0"/>
          <c:showPercent val="0"/>
          <c:showBubbleSize val="0"/>
        </c:dLbls>
        <c:gapWidth val="219"/>
        <c:overlap val="-27"/>
        <c:axId val="620970192"/>
        <c:axId val="620970672"/>
      </c:barChart>
      <c:catAx>
        <c:axId val="62097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70672"/>
        <c:crosses val="autoZero"/>
        <c:auto val="1"/>
        <c:lblAlgn val="ctr"/>
        <c:lblOffset val="100"/>
        <c:noMultiLvlLbl val="0"/>
      </c:catAx>
      <c:valAx>
        <c:axId val="620970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7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Sheet1!$E$19</c:f>
              <c:strCache>
                <c:ptCount val="1"/>
                <c:pt idx="0">
                  <c:v>Total</c:v>
                </c:pt>
              </c:strCache>
            </c:strRef>
          </c:tx>
          <c:spPr>
            <a:solidFill>
              <a:schemeClr val="accent1"/>
            </a:solidFill>
            <a:ln>
              <a:noFill/>
            </a:ln>
            <a:effectLst/>
          </c:spPr>
          <c:invertIfNegative val="0"/>
          <c:cat>
            <c:strRef>
              <c:f>Sheet1!$D$20:$D$30</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Sheet1!$E$20:$E$30</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1-4E10-4C20-986C-9F5927DEB2D0}"/>
            </c:ext>
          </c:extLst>
        </c:ser>
        <c:dLbls>
          <c:showLegendKey val="0"/>
          <c:showVal val="0"/>
          <c:showCatName val="0"/>
          <c:showSerName val="0"/>
          <c:showPercent val="0"/>
          <c:showBubbleSize val="0"/>
        </c:dLbls>
        <c:gapWidth val="219"/>
        <c:overlap val="-27"/>
        <c:axId val="620917872"/>
        <c:axId val="620926992"/>
      </c:barChart>
      <c:catAx>
        <c:axId val="62091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26992"/>
        <c:crosses val="autoZero"/>
        <c:auto val="1"/>
        <c:lblAlgn val="ctr"/>
        <c:lblOffset val="100"/>
        <c:noMultiLvlLbl val="0"/>
      </c:catAx>
      <c:valAx>
        <c:axId val="62092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8937007874017"/>
          <c:y val="0.22624781277340328"/>
          <c:w val="0.63415463692038498"/>
          <c:h val="0.53774387576552929"/>
        </c:manualLayout>
      </c:layout>
      <c:lineChart>
        <c:grouping val="standard"/>
        <c:varyColors val="0"/>
        <c:ser>
          <c:idx val="0"/>
          <c:order val="0"/>
          <c:tx>
            <c:strRef>
              <c:f>Sheet1!$B$33</c:f>
              <c:strCache>
                <c:ptCount val="1"/>
                <c:pt idx="0">
                  <c:v>Total</c:v>
                </c:pt>
              </c:strCache>
            </c:strRef>
          </c:tx>
          <c:spPr>
            <a:ln w="28575" cap="rnd">
              <a:solidFill>
                <a:schemeClr val="accent1"/>
              </a:solidFill>
              <a:round/>
            </a:ln>
            <a:effectLst/>
          </c:spPr>
          <c:marker>
            <c:symbol val="none"/>
          </c:marker>
          <c:cat>
            <c:strRef>
              <c:f>Sheet1!$A$34:$A$58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Sheet1!$B$34:$B$58</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8B12-4DD1-A254-05D5BCE6D0E6}"/>
            </c:ext>
          </c:extLst>
        </c:ser>
        <c:dLbls>
          <c:showLegendKey val="0"/>
          <c:showVal val="0"/>
          <c:showCatName val="0"/>
          <c:showSerName val="0"/>
          <c:showPercent val="0"/>
          <c:showBubbleSize val="0"/>
        </c:dLbls>
        <c:smooth val="0"/>
        <c:axId val="620913552"/>
        <c:axId val="620922672"/>
      </c:lineChart>
      <c:catAx>
        <c:axId val="62091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22672"/>
        <c:crosses val="autoZero"/>
        <c:auto val="1"/>
        <c:lblAlgn val="ctr"/>
        <c:lblOffset val="100"/>
        <c:noMultiLvlLbl val="0"/>
      </c:catAx>
      <c:valAx>
        <c:axId val="620922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213360</xdr:colOff>
      <xdr:row>10</xdr:row>
      <xdr:rowOff>30480</xdr:rowOff>
    </xdr:from>
    <xdr:to>
      <xdr:col>6</xdr:col>
      <xdr:colOff>449580</xdr:colOff>
      <xdr:row>24</xdr:row>
      <xdr:rowOff>30480</xdr:rowOff>
    </xdr:to>
    <xdr:graphicFrame macro="">
      <xdr:nvGraphicFramePr>
        <xdr:cNvPr id="2" name="Chart 1">
          <a:extLst>
            <a:ext uri="{FF2B5EF4-FFF2-40B4-BE49-F238E27FC236}">
              <a16:creationId xmlns:a16="http://schemas.microsoft.com/office/drawing/2014/main" id="{0F18E8E3-4A5B-4417-938C-A7362E21E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10</xdr:row>
      <xdr:rowOff>53340</xdr:rowOff>
    </xdr:from>
    <xdr:to>
      <xdr:col>13</xdr:col>
      <xdr:colOff>472440</xdr:colOff>
      <xdr:row>24</xdr:row>
      <xdr:rowOff>30480</xdr:rowOff>
    </xdr:to>
    <xdr:graphicFrame macro="">
      <xdr:nvGraphicFramePr>
        <xdr:cNvPr id="3" name="Chart 2">
          <a:extLst>
            <a:ext uri="{FF2B5EF4-FFF2-40B4-BE49-F238E27FC236}">
              <a16:creationId xmlns:a16="http://schemas.microsoft.com/office/drawing/2014/main" id="{3108D599-0519-4742-9F76-A0A52CD83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22860</xdr:rowOff>
    </xdr:from>
    <xdr:to>
      <xdr:col>6</xdr:col>
      <xdr:colOff>457200</xdr:colOff>
      <xdr:row>39</xdr:row>
      <xdr:rowOff>22860</xdr:rowOff>
    </xdr:to>
    <xdr:graphicFrame macro="">
      <xdr:nvGraphicFramePr>
        <xdr:cNvPr id="4" name="Chart 3">
          <a:extLst>
            <a:ext uri="{FF2B5EF4-FFF2-40B4-BE49-F238E27FC236}">
              <a16:creationId xmlns:a16="http://schemas.microsoft.com/office/drawing/2014/main" id="{A22F5BFF-7868-4183-B33A-58E6829BE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475762</xdr:colOff>
      <xdr:row>24</xdr:row>
      <xdr:rowOff>30480</xdr:rowOff>
    </xdr:from>
    <xdr:to>
      <xdr:col>13</xdr:col>
      <xdr:colOff>475762</xdr:colOff>
      <xdr:row>39</xdr:row>
      <xdr:rowOff>30480</xdr:rowOff>
    </xdr:to>
    <xdr:graphicFrame macro="">
      <xdr:nvGraphicFramePr>
        <xdr:cNvPr id="6" name="Chart 5">
          <a:extLst>
            <a:ext uri="{FF2B5EF4-FFF2-40B4-BE49-F238E27FC236}">
              <a16:creationId xmlns:a16="http://schemas.microsoft.com/office/drawing/2014/main" id="{A6AD698B-4642-4C40-9215-B40C88A06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491001</xdr:colOff>
      <xdr:row>24</xdr:row>
      <xdr:rowOff>30480</xdr:rowOff>
    </xdr:from>
    <xdr:to>
      <xdr:col>20</xdr:col>
      <xdr:colOff>452901</xdr:colOff>
      <xdr:row>39</xdr:row>
      <xdr:rowOff>30480</xdr:rowOff>
    </xdr:to>
    <xdr:graphicFrame macro="">
      <xdr:nvGraphicFramePr>
        <xdr:cNvPr id="7" name="Chart 6">
          <a:extLst>
            <a:ext uri="{FF2B5EF4-FFF2-40B4-BE49-F238E27FC236}">
              <a16:creationId xmlns:a16="http://schemas.microsoft.com/office/drawing/2014/main" id="{67865C4F-F482-4030-A818-B4D0948C5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502920</xdr:colOff>
      <xdr:row>10</xdr:row>
      <xdr:rowOff>22860</xdr:rowOff>
    </xdr:from>
    <xdr:to>
      <xdr:col>20</xdr:col>
      <xdr:colOff>434340</xdr:colOff>
      <xdr:row>24</xdr:row>
      <xdr:rowOff>30480</xdr:rowOff>
    </xdr:to>
    <xdr:graphicFrame macro="">
      <xdr:nvGraphicFramePr>
        <xdr:cNvPr id="8" name="Chart 7">
          <a:extLst>
            <a:ext uri="{FF2B5EF4-FFF2-40B4-BE49-F238E27FC236}">
              <a16:creationId xmlns:a16="http://schemas.microsoft.com/office/drawing/2014/main" id="{A91C2B21-BF06-4D69-8BCB-9D2F56C11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160020</xdr:colOff>
      <xdr:row>4</xdr:row>
      <xdr:rowOff>45720</xdr:rowOff>
    </xdr:from>
    <xdr:to>
      <xdr:col>7</xdr:col>
      <xdr:colOff>601980</xdr:colOff>
      <xdr:row>8</xdr:row>
      <xdr:rowOff>15240</xdr:rowOff>
    </xdr:to>
    <xdr:sp macro="" textlink="">
      <xdr:nvSpPr>
        <xdr:cNvPr id="9" name="Rectangle: Rounded Corners 8">
          <a:extLst>
            <a:ext uri="{FF2B5EF4-FFF2-40B4-BE49-F238E27FC236}">
              <a16:creationId xmlns:a16="http://schemas.microsoft.com/office/drawing/2014/main" id="{28BA2A38-5DA3-2DD2-4531-868BBBC4F938}"/>
            </a:ext>
          </a:extLst>
        </xdr:cNvPr>
        <xdr:cNvSpPr/>
      </xdr:nvSpPr>
      <xdr:spPr>
        <a:xfrm>
          <a:off x="2598420" y="777240"/>
          <a:ext cx="227076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1000</a:t>
          </a:r>
        </a:p>
        <a:p>
          <a:pPr algn="ctr"/>
          <a:r>
            <a:rPr lang="en-US" sz="1600"/>
            <a:t>Total</a:t>
          </a:r>
          <a:r>
            <a:rPr lang="en-US" sz="1600" baseline="0"/>
            <a:t> Order</a:t>
          </a:r>
          <a:endParaRPr lang="en-US" sz="1600"/>
        </a:p>
      </xdr:txBody>
    </xdr:sp>
    <xdr:clientData/>
  </xdr:twoCellAnchor>
  <xdr:twoCellAnchor>
    <xdr:from>
      <xdr:col>8</xdr:col>
      <xdr:colOff>205740</xdr:colOff>
      <xdr:row>4</xdr:row>
      <xdr:rowOff>30480</xdr:rowOff>
    </xdr:from>
    <xdr:to>
      <xdr:col>12</xdr:col>
      <xdr:colOff>7620</xdr:colOff>
      <xdr:row>8</xdr:row>
      <xdr:rowOff>0</xdr:rowOff>
    </xdr:to>
    <xdr:sp macro="" textlink="">
      <xdr:nvSpPr>
        <xdr:cNvPr id="10" name="Rectangle: Rounded Corners 9">
          <a:extLst>
            <a:ext uri="{FF2B5EF4-FFF2-40B4-BE49-F238E27FC236}">
              <a16:creationId xmlns:a16="http://schemas.microsoft.com/office/drawing/2014/main" id="{0B5226F3-D44D-4674-B22E-D4C7F2AE900F}"/>
            </a:ext>
          </a:extLst>
        </xdr:cNvPr>
        <xdr:cNvSpPr/>
      </xdr:nvSpPr>
      <xdr:spPr>
        <a:xfrm>
          <a:off x="5082540" y="762000"/>
          <a:ext cx="224028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35,20,984.00</a:t>
          </a:r>
        </a:p>
        <a:p>
          <a:pPr algn="ctr"/>
          <a:r>
            <a:rPr lang="en-US" sz="1400"/>
            <a:t>Total</a:t>
          </a:r>
          <a:r>
            <a:rPr lang="en-US" sz="1400" baseline="0"/>
            <a:t> Revenue</a:t>
          </a:r>
          <a:endParaRPr lang="en-US" sz="1400"/>
        </a:p>
      </xdr:txBody>
    </xdr:sp>
    <xdr:clientData/>
  </xdr:twoCellAnchor>
  <xdr:twoCellAnchor>
    <xdr:from>
      <xdr:col>12</xdr:col>
      <xdr:colOff>297180</xdr:colOff>
      <xdr:row>4</xdr:row>
      <xdr:rowOff>38100</xdr:rowOff>
    </xdr:from>
    <xdr:to>
      <xdr:col>16</xdr:col>
      <xdr:colOff>7620</xdr:colOff>
      <xdr:row>8</xdr:row>
      <xdr:rowOff>7620</xdr:rowOff>
    </xdr:to>
    <xdr:sp macro="" textlink="">
      <xdr:nvSpPr>
        <xdr:cNvPr id="11" name="Rectangle: Rounded Corners 10">
          <a:extLst>
            <a:ext uri="{FF2B5EF4-FFF2-40B4-BE49-F238E27FC236}">
              <a16:creationId xmlns:a16="http://schemas.microsoft.com/office/drawing/2014/main" id="{EF4E3CCD-7109-4DDD-B7CE-345DDA9CD41B}"/>
            </a:ext>
          </a:extLst>
        </xdr:cNvPr>
        <xdr:cNvSpPr/>
      </xdr:nvSpPr>
      <xdr:spPr>
        <a:xfrm>
          <a:off x="7612380" y="769620"/>
          <a:ext cx="214884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5.53</a:t>
          </a:r>
          <a:endParaRPr lang="en-US" sz="1200"/>
        </a:p>
        <a:p>
          <a:pPr algn="ctr"/>
          <a:r>
            <a:rPr lang="en-US" sz="1200"/>
            <a:t>Abg</a:t>
          </a:r>
          <a:r>
            <a:rPr lang="en-US" sz="1200" baseline="0"/>
            <a:t> b/w Order and Delivery</a:t>
          </a:r>
        </a:p>
        <a:p>
          <a:pPr algn="ctr"/>
          <a:endParaRPr lang="en-US" sz="1200"/>
        </a:p>
      </xdr:txBody>
    </xdr:sp>
    <xdr:clientData/>
  </xdr:twoCellAnchor>
  <xdr:twoCellAnchor>
    <xdr:from>
      <xdr:col>16</xdr:col>
      <xdr:colOff>312420</xdr:colOff>
      <xdr:row>4</xdr:row>
      <xdr:rowOff>45720</xdr:rowOff>
    </xdr:from>
    <xdr:to>
      <xdr:col>19</xdr:col>
      <xdr:colOff>594360</xdr:colOff>
      <xdr:row>8</xdr:row>
      <xdr:rowOff>15240</xdr:rowOff>
    </xdr:to>
    <xdr:sp macro="" textlink="">
      <xdr:nvSpPr>
        <xdr:cNvPr id="12" name="Rectangle: Rounded Corners 11">
          <a:extLst>
            <a:ext uri="{FF2B5EF4-FFF2-40B4-BE49-F238E27FC236}">
              <a16:creationId xmlns:a16="http://schemas.microsoft.com/office/drawing/2014/main" id="{B79A6224-DA55-4199-8DD1-66BC7F2FB23D}"/>
            </a:ext>
          </a:extLst>
        </xdr:cNvPr>
        <xdr:cNvSpPr/>
      </xdr:nvSpPr>
      <xdr:spPr>
        <a:xfrm>
          <a:off x="10066020" y="777240"/>
          <a:ext cx="211074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 3,520.98</a:t>
          </a:r>
        </a:p>
        <a:p>
          <a:pPr algn="ctr"/>
          <a:r>
            <a:rPr lang="en-US" sz="1400"/>
            <a:t>Avg</a:t>
          </a:r>
          <a:r>
            <a:rPr lang="en-US" sz="1400" baseline="0"/>
            <a:t> customer's spent</a:t>
          </a:r>
          <a:endParaRPr lang="en-US" sz="1400"/>
        </a:p>
      </xdr:txBody>
    </xdr:sp>
    <xdr:clientData/>
  </xdr:twoCellAnchor>
  <xdr:twoCellAnchor editAs="oneCell">
    <xdr:from>
      <xdr:col>20</xdr:col>
      <xdr:colOff>584395</xdr:colOff>
      <xdr:row>4</xdr:row>
      <xdr:rowOff>79325</xdr:rowOff>
    </xdr:from>
    <xdr:to>
      <xdr:col>23</xdr:col>
      <xdr:colOff>498231</xdr:colOff>
      <xdr:row>13</xdr:row>
      <xdr:rowOff>68385</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B9BE35A6-AC25-C778-71EA-2C5AF1FA656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698241" y="821787"/>
              <a:ext cx="1730913" cy="16595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605108</xdr:colOff>
      <xdr:row>14</xdr:row>
      <xdr:rowOff>61156</xdr:rowOff>
    </xdr:from>
    <xdr:to>
      <xdr:col>23</xdr:col>
      <xdr:colOff>488462</xdr:colOff>
      <xdr:row>23</xdr:row>
      <xdr:rowOff>19538</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FD284831-7F8B-BA30-B4B6-DCFE9312387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718954" y="2659771"/>
              <a:ext cx="1700431" cy="16289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160020</xdr:colOff>
      <xdr:row>4</xdr:row>
      <xdr:rowOff>30480</xdr:rowOff>
    </xdr:from>
    <xdr:to>
      <xdr:col>3</xdr:col>
      <xdr:colOff>601980</xdr:colOff>
      <xdr:row>8</xdr:row>
      <xdr:rowOff>0</xdr:rowOff>
    </xdr:to>
    <xdr:sp macro="" textlink="">
      <xdr:nvSpPr>
        <xdr:cNvPr id="18" name="Rectangle: Rounded Corners 17">
          <a:extLst>
            <a:ext uri="{FF2B5EF4-FFF2-40B4-BE49-F238E27FC236}">
              <a16:creationId xmlns:a16="http://schemas.microsoft.com/office/drawing/2014/main" id="{770C91AC-2FB5-4E97-A381-941D4BC00EB7}"/>
            </a:ext>
          </a:extLst>
        </xdr:cNvPr>
        <xdr:cNvSpPr/>
      </xdr:nvSpPr>
      <xdr:spPr>
        <a:xfrm>
          <a:off x="160020" y="762000"/>
          <a:ext cx="2270760" cy="701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a:t>Sales</a:t>
          </a:r>
          <a:r>
            <a:rPr lang="en-US" sz="1800" baseline="0"/>
            <a:t> Analysis</a:t>
          </a:r>
          <a:endParaRPr lang="en-US" sz="1800"/>
        </a:p>
      </xdr:txBody>
    </xdr:sp>
    <xdr:clientData/>
  </xdr:twoCellAnchor>
  <xdr:twoCellAnchor editAs="oneCell">
    <xdr:from>
      <xdr:col>0</xdr:col>
      <xdr:colOff>289561</xdr:colOff>
      <xdr:row>4</xdr:row>
      <xdr:rowOff>60960</xdr:rowOff>
    </xdr:from>
    <xdr:to>
      <xdr:col>1</xdr:col>
      <xdr:colOff>368644</xdr:colOff>
      <xdr:row>7</xdr:row>
      <xdr:rowOff>0</xdr:rowOff>
    </xdr:to>
    <xdr:pic>
      <xdr:nvPicPr>
        <xdr:cNvPr id="20" name="Picture 19">
          <a:extLst>
            <a:ext uri="{FF2B5EF4-FFF2-40B4-BE49-F238E27FC236}">
              <a16:creationId xmlns:a16="http://schemas.microsoft.com/office/drawing/2014/main" id="{DD0E85F8-1593-D3FB-D174-CDA0CABE54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9561" y="792480"/>
          <a:ext cx="688683" cy="487680"/>
        </a:xfrm>
        <a:prstGeom prst="rect">
          <a:avLst/>
        </a:prstGeom>
      </xdr:spPr>
    </xdr:pic>
    <xdr:clientData/>
  </xdr:twoCellAnchor>
  <xdr:twoCellAnchor editAs="oneCell">
    <xdr:from>
      <xdr:col>21</xdr:col>
      <xdr:colOff>1</xdr:colOff>
      <xdr:row>23</xdr:row>
      <xdr:rowOff>146540</xdr:rowOff>
    </xdr:from>
    <xdr:to>
      <xdr:col>24</xdr:col>
      <xdr:colOff>11724</xdr:colOff>
      <xdr:row>37</xdr:row>
      <xdr:rowOff>173601</xdr:rowOff>
    </xdr:to>
    <mc:AlternateContent xmlns:mc="http://schemas.openxmlformats.org/markup-compatibility/2006" xmlns:a14="http://schemas.microsoft.com/office/drawing/2010/main">
      <mc:Choice Requires="a14">
        <xdr:graphicFrame macro="">
          <xdr:nvGraphicFramePr>
            <xdr:cNvPr id="21" name="Occasion">
              <a:extLst>
                <a:ext uri="{FF2B5EF4-FFF2-40B4-BE49-F238E27FC236}">
                  <a16:creationId xmlns:a16="http://schemas.microsoft.com/office/drawing/2014/main" id="{FF55C4D3-5851-411F-BB0C-4A15D36D74A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719539" y="4415694"/>
              <a:ext cx="1828800" cy="2625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797121759257" backgroundQuery="1" createdVersion="8" refreshedVersion="8" minRefreshableVersion="3" recordCount="0" supportSubquery="1" supportAdvancedDrill="1" xr:uid="{6B069DA0-025F-4C3C-B898-6CA87C2A20EC}">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37499999" backgroundQuery="1" createdVersion="8" refreshedVersion="8" minRefreshableVersion="3" recordCount="0" supportSubquery="1" supportAdvancedDrill="1" xr:uid="{CC3D3A7B-8427-4D86-919F-56F5054BFD6A}">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analyst projects].[Content]" caption="Content" attribute="1" defaultMemberUniqueName="[data analyst projects].[Content].[All]" allUniqueName="[data analyst projects].[Content].[All]" dimensionUniqueName="[data analyst projects]" displayFolder="" count="2" memberValueDatatype="130" unbalanced="0"/>
    <cacheHierarchy uniqueName="[data analyst projects].[Name]" caption="Name" attribute="1" defaultMemberUniqueName="[data analyst projects].[Name].[All]" allUniqueName="[data analyst projects].[Name].[All]" dimensionUniqueName="[data analyst projects]" displayFolder="" count="2"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2"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2"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2"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2"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5" unbalanced="0"/>
    <cacheHierarchy uniqueName="[orders].[Hour(delivered time)]" caption="Hour(delivered time)" attribute="1" defaultMemberUniqueName="[orders].[Hour(delivered time)].[All]" allUniqueName="[orders].[Hour(delivered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38425923" backgroundQuery="1" createdVersion="8" refreshedVersion="8" minRefreshableVersion="3" recordCount="0" supportSubquery="1" supportAdvancedDrill="1" xr:uid="{66E127BC-FA4C-4562-8DE3-2B5E2A5DA7F2}">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39236108" backgroundQuery="1" createdVersion="8" refreshedVersion="8" minRefreshableVersion="3" recordCount="0" supportSubquery="1" supportAdvancedDrill="1" xr:uid="{D794FE8E-81B0-49C1-ACC4-D48561E8D181}">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39583331" backgroundQuery="1" createdVersion="8" refreshedVersion="8" minRefreshableVersion="3" recordCount="0" supportSubquery="1" supportAdvancedDrill="1" xr:uid="{A12C4C66-43E9-4790-B690-D7EF9A923BB0}">
  <cacheSource type="external" connectionId="9"/>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40046293" backgroundQuery="1" createdVersion="8" refreshedVersion="8" minRefreshableVersion="3" recordCount="0" supportSubquery="1" supportAdvancedDrill="1" xr:uid="{799FA1C3-EBF2-4D63-BFF2-F31DBEA09667}">
  <cacheSource type="external" connectionId="9"/>
  <cacheFields count="4">
    <cacheField name="[Measures].[Average of diff_order_delivery]" caption="Average of diff_order_delivery" numFmtId="0" hierarchy="45" level="32767"/>
    <cacheField name="[Measures].[Average of revenue]" caption="Average of revenue" numFmtId="0" hierarchy="44" level="32767"/>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40625001" backgroundQuery="1" createdVersion="8" refreshedVersion="8" minRefreshableVersion="3" recordCount="0" supportSubquery="1" supportAdvancedDrill="1" xr:uid="{898E1595-4175-4A16-85C4-AD0351E08929}">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analyst projects].[Content]" caption="Content" attribute="1" defaultMemberUniqueName="[data analyst projects].[Content].[All]" allUniqueName="[data analyst projects].[Content].[All]" dimensionUniqueName="[data analyst projects]" displayFolder="" count="2" memberValueDatatype="130" unbalanced="0"/>
    <cacheHierarchy uniqueName="[data analyst projects].[Name]" caption="Name" attribute="1" defaultMemberUniqueName="[data analyst projects].[Name].[All]" allUniqueName="[data analyst projects].[Name].[All]" dimensionUniqueName="[data analyst projects]" displayFolder="" count="2"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2"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2"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2"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2"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5" unbalanced="0"/>
    <cacheHierarchy uniqueName="[orders].[Hour(delivered time)]" caption="Hour(delivered time)" attribute="1" defaultMemberUniqueName="[orders].[Hour(delivered time)].[All]" allUniqueName="[orders].[Hour(delivered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998141435186" backgroundQuery="1" createdVersion="8" refreshedVersion="8" minRefreshableVersion="3" recordCount="0" supportSubquery="1" supportAdvancedDrill="1" xr:uid="{01341257-929D-4DA3-82E4-D85F36E1A56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data analyst projects" uniqueName="[data analyst projects]" caption="data analyst projects"/>
    <dimension measure="1" name="Measures" uniqueName="[Measures]" caption="Measures"/>
    <dimension name="orders" uniqueName="[orders]" caption="orders"/>
    <dimension name="products" uniqueName="[products]" caption="products"/>
  </dimensions>
  <measureGroups count="4">
    <measureGroup name="customers" caption="customers"/>
    <measureGroup name="data analyst projects" caption="data analyst projec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1.791462499998" backgroundQuery="1" createdVersion="3" refreshedVersion="8" minRefreshableVersion="3" recordCount="0" supportSubquery="1" supportAdvancedDrill="1" xr:uid="{29BE7714-9009-496B-BFCB-860DAF36F87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ed time)]" caption="Sum of Hour(delivered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28476299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refreshedDate="46150.759857291669" backgroundQuery="1" createdVersion="3" refreshedVersion="8" minRefreshableVersion="3" recordCount="0" supportSubquery="1" supportAdvancedDrill="1" xr:uid="{66C0A916-5365-4CD0-A0CF-0CD77FB1AA31}">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analyst projects].[Content]" caption="Content" attribute="1" defaultMemberUniqueName="[data analyst projects].[Content].[All]" allUniqueName="[data analyst projects].[Content].[All]" dimensionUniqueName="[data analyst projects]" displayFolder="" count="0" memberValueDatatype="130" unbalanced="0"/>
    <cacheHierarchy uniqueName="[data analyst projects].[Name]" caption="Name" attribute="1" defaultMemberUniqueName="[data analyst projects].[Name].[All]" allUniqueName="[data analyst projects].[Name].[All]" dimensionUniqueName="[data analyst projects]" displayFolder="" count="0" memberValueDatatype="130" unbalanced="0"/>
    <cacheHierarchy uniqueName="[data analyst projects].[Extension]" caption="Extension" attribute="1" defaultMemberUniqueName="[data analyst projects].[Extension].[All]" allUniqueName="[data analyst projects].[Extension].[All]" dimensionUniqueName="[data analyst projects]" displayFolder="" count="0" memberValueDatatype="130" unbalanced="0"/>
    <cacheHierarchy uniqueName="[data analyst projects].[Date accessed]" caption="Date accessed" attribute="1" time="1" defaultMemberUniqueName="[data analyst projects].[Date accessed].[All]" allUniqueName="[data analyst projects].[Date accessed].[All]" dimensionUniqueName="[data analyst projects]" displayFolder="" count="0" memberValueDatatype="7" unbalanced="0"/>
    <cacheHierarchy uniqueName="[data analyst projects].[Date modified]" caption="Date modified" attribute="1" time="1" defaultMemberUniqueName="[data analyst projects].[Date modified].[All]" allUniqueName="[data analyst projects].[Date modified].[All]" dimensionUniqueName="[data analyst projects]" displayFolder="" count="0" memberValueDatatype="7" unbalanced="0"/>
    <cacheHierarchy uniqueName="[data analyst projects].[Date created]" caption="Date created" attribute="1" time="1" defaultMemberUniqueName="[data analyst projects].[Date created].[All]" allUniqueName="[data analyst projects].[Date created].[All]" dimensionUniqueName="[data analyst projects]" displayFolder="" count="0" memberValueDatatype="7" unbalanced="0"/>
    <cacheHierarchy uniqueName="[data analyst projects].[Folder Path]" caption="Folder Path" attribute="1" defaultMemberUniqueName="[data analyst projects].[Folder Path].[All]" allUniqueName="[data analyst projects].[Folder Path].[All]" dimensionUniqueName="[data analyst projec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5" unbalanced="0"/>
    <cacheHierarchy uniqueName="[orders].[Hour(delivered time)]" caption="Hour(delivered time)" attribute="1" defaultMemberUniqueName="[orders].[Hour(delivered time)].[All]" allUniqueName="[orders].[Hour(delivered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analyst projects]" caption="__XL_Count data analyst projects" measure="1" displayFolder="" measureGroup="data analyst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Count of Hour(Order time)]" caption="Count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tdDev of Hour(Order time)]" caption="StdDev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ed time)]" caption="Sum of Hour(delivered time)" measure="1" displayFolder="" measureGroup="order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9410137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2A09C6-5C46-47C5-8569-752A5E06522C}" name="PivotTable8" cacheId="70" applyNumberFormats="0" applyBorderFormats="0" applyFontFormats="0" applyPatternFormats="0" applyAlignmentFormats="0" applyWidthHeightFormats="1" dataCaption="Values" tag="64dadce8-78a5-4054-80b0-c59004c5cc81" updatedVersion="8" minRefreshableVersion="5" useAutoFormatting="1" subtotalHiddenItems="1" itemPrintTitles="1" createdVersion="8" indent="0" outline="1" outlineData="1" multipleFieldFilters="0" chartFormat="4">
  <location ref="A20: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6DD1B8-3522-4EAE-B66A-19D807AB8299}" name="PivotTable7" cacheId="67" applyNumberFormats="0" applyBorderFormats="0" applyFontFormats="0" applyPatternFormats="0" applyAlignmentFormats="0" applyWidthHeightFormats="1" dataCaption="Values" tag="0b4a8ed7-d357-4e0f-a7b4-f7bcda3af54f" updatedVersion="8" minRefreshableVersion="5" useAutoFormatting="1" subtotalHiddenItems="1" itemPrintTitles="1" createdVersion="8" indent="0" outline="1" outlineData="1" multipleFieldFilters="0">
  <location ref="E2:G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Customer spending" fld="1" subtotal="average" baseField="0" baseItem="0"/>
    <dataField name="Average of diff_order_delivery" fld="0" subtotal="average" baseField="0" baseItem="0"/>
    <dataField name="Total of Order_ID" fld="2" subtotal="count" baseField="0" baseItem="2"/>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Customer spending"/>
    <pivotHierarchy dragToData="1" caption="Average of diff_order_delivery"/>
    <pivotHierarchy dragToData="1"/>
    <pivotHierarchy dragToData="1" caption="Total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26A67-84FE-4460-B071-D13F801D64F1}" name="PivotTable11" cacheId="58" applyNumberFormats="0" applyBorderFormats="0" applyFontFormats="0" applyPatternFormats="0" applyAlignmentFormats="0" applyWidthHeightFormats="1" dataCaption="Values" tag="5d3ab502-ff78-4ef7-b24b-0f3a0b993009" updatedVersion="8" minRefreshableVersion="5" useAutoFormatting="1" subtotalHiddenItems="1" itemPrintTitles="1" createdVersion="8" indent="0" outline="1" outlineData="1" multipleFieldFilters="0" chartFormat="14">
  <location ref="A33:B5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1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Hour(Order time)"/>
    <pivotHierarchy dragToData="1" caption="StdDev of Hour(Order time)"/>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4DEC4C-EE83-4BDF-9C35-24E9543194AA}" name="PivotTable6" cacheId="55" applyNumberFormats="0" applyBorderFormats="0" applyFontFormats="0" applyPatternFormats="0" applyAlignmentFormats="0" applyWidthHeightFormats="1" dataCaption="Values" tag="25d5c719-f6ea-426c-a2df-e01dcda5f419" updatedVersion="8" minRefreshableVersion="5" useAutoFormatting="1" subtotalHiddenItems="1" itemPrintTitles="1" createdVersion="8" indent="0" outline="1" outlineData="1" multipleFieldFilters="0" chartFormat="10">
  <location ref="D7:E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9"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F8CA08-D8A6-4632-BE22-6AEF94292D12}" name="PivotTable10" cacheId="2" applyNumberFormats="0" applyBorderFormats="0" applyFontFormats="0" applyPatternFormats="0" applyAlignmentFormats="0" applyWidthHeightFormats="1" dataCaption="Values" tag="b58a79e4-a047-47d2-8355-fd0b9086f821" updatedVersion="8" minRefreshableVersion="5" useAutoFormatting="1" subtotalHiddenItems="1" itemPrintTitles="1" createdVersion="8" indent="0" outline="1" outlineData="1" multipleFieldFilters="0" chartFormat="4">
  <location ref="G25:H3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5ACAA0-50A9-4026-8EC3-8D990966D1B7}" name="PivotTable5" cacheId="64" applyNumberFormats="0" applyBorderFormats="0" applyFontFormats="0" applyPatternFormats="0" applyAlignmentFormats="0" applyWidthHeightFormats="1" dataCaption="Values" tag="de540c9b-4917-42c4-9a6b-91407e6fd997" updatedVersion="8" minRefreshableVersion="5"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revenue"/>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06AAD5-F117-4ABB-9839-AF880702AC06}" name="PivotTable4" cacheId="61" applyNumberFormats="0" applyBorderFormats="0" applyFontFormats="0" applyPatternFormats="0" applyAlignmentFormats="0" applyWidthHeightFormats="1" dataCaption="Values" tag="050a4fe3-5fc9-4c81-9d89-60d74623a233" updatedVersion="8" minRefreshableVersion="5" useAutoFormatting="1" subtotalHiddenItems="1" itemPrintTitles="1" createdVersion="8" indent="0" outline="1" outlineData="1" multipleFieldFilters="0" chartFormat="7">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16A108-00CF-4589-9F88-5A9FEB268EE9}" name="PivotTable9" cacheId="73" applyNumberFormats="0" applyBorderFormats="0" applyFontFormats="0" applyPatternFormats="0" applyAlignmentFormats="0" applyWidthHeightFormats="1" dataCaption="Values" tag="261a0950-f421-4dfc-9c72-9da727e78e9b" updatedVersion="8" minRefreshableVersion="5" useAutoFormatting="1" subtotalHiddenItems="1" itemPrintTitles="1" createdVersion="8" indent="0" outline="1" outlineData="1" multipleFieldFilters="0" chartFormat="6">
  <location ref="D19:E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05C90A-E31F-4051-B283-6B2FFEB4FA8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analyst proje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47C555D-CA34-4AD1-98AE-9EEE027AF8F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D3294D0-9572-4687-80FF-6E9DEBC6AC8B}"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ed time)" tableColumnId="14"/>
      <queryTableField id="15" name="Price (INR)" tableColumnId="15"/>
      <queryTableField id="16" name="revenue" tableColumnId="16"/>
      <queryTableField id="19" name="Day name (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E9E8D65-89EE-4941-998D-25512999CBD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69CFA58-CC73-4388-A14D-0D5F5D189FBD}" sourceName="[orders].[Occasion]">
  <pivotTables>
    <pivotTable tabId="1" name="PivotTable6"/>
    <pivotTable tabId="1" name="PivotTable11"/>
    <pivotTable tabId="1" name="PivotTable4"/>
    <pivotTable tabId="1" name="PivotTable5"/>
    <pivotTable tabId="1" name="PivotTable7"/>
    <pivotTable tabId="1" name="PivotTable8"/>
    <pivotTable tabId="1" name="PivotTable9"/>
  </pivotTables>
  <data>
    <olap pivotCacheId="28476299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20BDF2E-226E-4C3E-9C17-64E2929CA66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1BD569-C8FE-4275-890B-EAD964B3C7A8}" name="data_analyst_projects" displayName="data_analyst_projects" ref="A1:F4" tableType="queryTable" totalsRowShown="0">
  <autoFilter ref="A1:F4" xr:uid="{ED1BD569-C8FE-4275-890B-EAD964B3C7A8}"/>
  <tableColumns count="6">
    <tableColumn id="1" xr3:uid="{1B312A33-0095-4EF7-93B5-292A9876FC30}" uniqueName="1" name="Name" queryTableFieldId="1" dataDxfId="23"/>
    <tableColumn id="2" xr3:uid="{3B425037-4E75-41AB-A4CF-A490E95DDA3B}" uniqueName="2" name="Extension" queryTableFieldId="2" dataDxfId="22"/>
    <tableColumn id="3" xr3:uid="{422E3ACB-88FD-45E3-88FB-C963BA30862F}" uniqueName="3" name="Date accessed" queryTableFieldId="3" dataDxfId="21"/>
    <tableColumn id="4" xr3:uid="{024F2D18-B4A0-4152-BEFB-A061E28D66C8}" uniqueName="4" name="Date modified" queryTableFieldId="4" dataDxfId="20"/>
    <tableColumn id="5" xr3:uid="{63C58390-E91F-4880-A917-26611BC0EEF6}" uniqueName="5" name="Date created" queryTableFieldId="5" dataDxfId="19"/>
    <tableColumn id="6" xr3:uid="{C9D48469-7506-4F50-BACD-05DB34F58772}"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7CC2A-51FC-4FFE-B62E-7B0CD8337078}" name="customers" displayName="customers" ref="A1:G101" tableType="queryTable" totalsRowShown="0">
  <autoFilter ref="A1:G101" xr:uid="{F6E7CC2A-51FC-4FFE-B62E-7B0CD8337078}"/>
  <tableColumns count="7">
    <tableColumn id="1" xr3:uid="{1841FB17-89DC-4B67-AD40-E84C88561861}" uniqueName="1" name="Customer_ID" queryTableFieldId="1" dataDxfId="17"/>
    <tableColumn id="2" xr3:uid="{33551A3E-1E77-4475-8D72-8DC60393BFD3}" uniqueName="2" name="Name" queryTableFieldId="2" dataDxfId="16"/>
    <tableColumn id="3" xr3:uid="{7096AFB6-AB78-46CB-9F22-B0EE294F0FBC}" uniqueName="3" name="City" queryTableFieldId="3" dataDxfId="15"/>
    <tableColumn id="4" xr3:uid="{2DC53311-EF99-4B21-8AE4-579E6C3F45E9}" uniqueName="4" name="Contact_Number" queryTableFieldId="4" dataDxfId="14"/>
    <tableColumn id="5" xr3:uid="{50F177A0-7721-4FCA-92A8-B0F302A91915}" uniqueName="5" name="Email" queryTableFieldId="5" dataDxfId="13"/>
    <tableColumn id="6" xr3:uid="{72FE7E52-84A8-4758-AFC5-6BF0AEA59B1B}" uniqueName="6" name="Gender" queryTableFieldId="6" dataDxfId="12"/>
    <tableColumn id="7" xr3:uid="{28F9F6E8-8C02-43DF-89C5-26A84233E319}"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484E9D-818B-4533-84F4-133CB4DDB231}" name="orders" displayName="orders" ref="A1:Q1001" tableType="queryTable" totalsRowShown="0">
  <autoFilter ref="A1:Q1001" xr:uid="{23484E9D-818B-4533-84F4-133CB4DDB231}"/>
  <tableColumns count="17">
    <tableColumn id="1" xr3:uid="{B2A93D50-AA23-4AC1-AAB9-299D6C537A2E}" uniqueName="1" name="Order_ID" queryTableFieldId="1"/>
    <tableColumn id="2" xr3:uid="{22804383-590B-42E7-A6C4-1EA5A9390A39}" uniqueName="2" name="Customer_ID" queryTableFieldId="2" dataDxfId="10"/>
    <tableColumn id="3" xr3:uid="{0A087CFD-DD22-4A73-A9FC-517C1CA97356}" uniqueName="3" name="Product_ID" queryTableFieldId="3"/>
    <tableColumn id="4" xr3:uid="{3E1C73F7-FF05-452F-94C3-5A3EC91C7FAD}" uniqueName="4" name="Quantity" queryTableFieldId="4"/>
    <tableColumn id="5" xr3:uid="{BC8C0EEF-4CE0-4359-A307-827F4EC0A5A4}" uniqueName="5" name="Order_Date" queryTableFieldId="5" dataDxfId="9"/>
    <tableColumn id="6" xr3:uid="{F9E1723F-3625-4590-ADBD-0B1648921B03}" uniqueName="6" name="Order_Time" queryTableFieldId="6" dataDxfId="8"/>
    <tableColumn id="7" xr3:uid="{3FE6B02B-11C2-43A2-A9AB-C8B113EDA58D}" uniqueName="7" name="Delivery_Date" queryTableFieldId="7" dataDxfId="7"/>
    <tableColumn id="8" xr3:uid="{66AD9ED0-7A53-4027-9DD2-3DA223200B44}" uniqueName="8" name="Delivery_Time" queryTableFieldId="8" dataDxfId="6"/>
    <tableColumn id="9" xr3:uid="{D4D98135-68A4-4E80-B546-CCE9C8175C9F}" uniqueName="9" name="Location" queryTableFieldId="9" dataDxfId="5"/>
    <tableColumn id="10" xr3:uid="{1B747969-2FBC-423B-9ED5-159140EA8116}" uniqueName="10" name="Occasion" queryTableFieldId="10" dataDxfId="4"/>
    <tableColumn id="11" xr3:uid="{33404C9E-CBDD-4490-B631-3E5AFBDAB377}" uniqueName="11" name="Month Name" queryTableFieldId="11" dataDxfId="3"/>
    <tableColumn id="12" xr3:uid="{5BAE98D6-F390-4EDE-8735-33C8D30B1B93}" uniqueName="12" name="Hour(Order time)" queryTableFieldId="12"/>
    <tableColumn id="13" xr3:uid="{EED8ED7E-E68F-409B-B2E1-6518DB8A3C49}" uniqueName="13" name="diff_order_delivery" queryTableFieldId="13"/>
    <tableColumn id="14" xr3:uid="{08A7C72B-5455-4039-9CDE-E2B4483247C9}" uniqueName="14" name="Hour(delivered time)" queryTableFieldId="14"/>
    <tableColumn id="15" xr3:uid="{DF857AD7-501B-4D21-89D3-E4670F9EDE5D}" uniqueName="15" name="Price (INR)" queryTableFieldId="15"/>
    <tableColumn id="16" xr3:uid="{BE01CEA5-41F2-4E0C-8D3E-A5B2A2119F0D}" uniqueName="16" name="revenue" queryTableFieldId="16"/>
    <tableColumn id="19" xr3:uid="{6117CD14-A42D-4FDD-B2A1-506899D5A2CB}" uniqueName="19" name="Day name (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A61E8F-B2B9-4EC4-AFD1-F6BDA152D331}" name="products" displayName="products" ref="A1:E71" tableType="queryTable" totalsRowShown="0">
  <autoFilter ref="A1:E71" xr:uid="{CFA61E8F-B2B9-4EC4-AFD1-F6BDA152D331}"/>
  <tableColumns count="5">
    <tableColumn id="1" xr3:uid="{CEC3554F-1D42-4D33-B790-B9265B91282A}" uniqueName="1" name="Product_ID" queryTableFieldId="1"/>
    <tableColumn id="2" xr3:uid="{2198D1C8-33EC-4D89-A371-544B8C570D3E}" uniqueName="2" name="Product_Name" queryTableFieldId="2" dataDxfId="2"/>
    <tableColumn id="3" xr3:uid="{ACCCBCE0-A64B-4725-9313-82C3C0A795AF}" uniqueName="3" name="Category" queryTableFieldId="3" dataDxfId="1"/>
    <tableColumn id="4" xr3:uid="{1507F782-40A5-4352-A05C-960D39D75987}" uniqueName="4" name="Price (INR)" queryTableFieldId="4"/>
    <tableColumn id="5" xr3:uid="{87FE3BE0-667D-47A3-BF33-DCA738D4594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FAA4B77-9CD4-40DF-895B-3E2829D1D124}" sourceName="[orders].[Order_Date]">
  <pivotTables>
    <pivotTable tabId="1" name="PivotTable8"/>
    <pivotTable tabId="1" name="PivotTable10"/>
    <pivotTable tabId="1" name="PivotTable11"/>
    <pivotTable tabId="1" name="PivotTable4"/>
    <pivotTable tabId="1" name="PivotTable5"/>
    <pivotTable tabId="1" name="PivotTable7"/>
    <pivotTable tabId="1" name="PivotTable9"/>
  </pivotTables>
  <state minimalRefreshVersion="6" lastRefreshVersion="6" pivotCacheId="94101376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753CF32-2647-4EBC-B90E-A978E4B423CE}" sourceName="[orders].[Delivery_Date]">
  <pivotTables>
    <pivotTable tabId="1" name="PivotTable8"/>
    <pivotTable tabId="1" name="PivotTable10"/>
    <pivotTable tabId="1" name="PivotTable11"/>
    <pivotTable tabId="1" name="PivotTable4"/>
    <pivotTable tabId="1" name="PivotTable5"/>
    <pivotTable tabId="1" name="PivotTable6"/>
    <pivotTable tabId="1" name="PivotTable7"/>
    <pivotTable tabId="1" name="PivotTable9"/>
  </pivotTables>
  <state minimalRefreshVersion="6" lastRefreshVersion="6" pivotCacheId="94101376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C984FFC-522A-4A01-9283-E27C67663B29}" cache="Timeline_Order_Date" caption="Order_Date" level="2" selectionLevel="2" scrollPosition="2023-09-21T00:00:00"/>
  <timeline name="Delivery_Date" xr10:uid="{E329AEBA-DB50-42B7-8988-CAFF29DE487A}" cache="Timeline_Delivery_Date" caption="Delivery_Date" level="2" selectionLevel="0" scrollPosition="2024-05-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BFCD-13D8-41DC-BF33-8436B83F80A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6.109375" bestFit="1" customWidth="1"/>
  </cols>
  <sheetData>
    <row r="1" spans="1:6" x14ac:dyDescent="0.3">
      <c r="A1" t="s">
        <v>0</v>
      </c>
      <c r="B1" t="s">
        <v>1</v>
      </c>
      <c r="C1" t="s">
        <v>2</v>
      </c>
      <c r="D1" t="s">
        <v>3</v>
      </c>
      <c r="E1" t="s">
        <v>4</v>
      </c>
      <c r="F1" t="s">
        <v>5</v>
      </c>
    </row>
    <row r="2" spans="1:6" x14ac:dyDescent="0.3">
      <c r="A2" t="s">
        <v>6</v>
      </c>
      <c r="B2" t="s">
        <v>7</v>
      </c>
      <c r="C2" s="1">
        <v>46149.454280902777</v>
      </c>
      <c r="D2" s="1">
        <v>46147.93680482253</v>
      </c>
      <c r="E2" s="1">
        <v>46147.936790354936</v>
      </c>
      <c r="F2" t="s">
        <v>8</v>
      </c>
    </row>
    <row r="3" spans="1:6" x14ac:dyDescent="0.3">
      <c r="A3" t="s">
        <v>9</v>
      </c>
      <c r="B3" t="s">
        <v>7</v>
      </c>
      <c r="C3" s="1">
        <v>46149.434305246912</v>
      </c>
      <c r="D3" s="1">
        <v>46147.965213117284</v>
      </c>
      <c r="E3" s="1">
        <v>46147.937116859568</v>
      </c>
      <c r="F3" t="s">
        <v>8</v>
      </c>
    </row>
    <row r="4" spans="1:6" x14ac:dyDescent="0.3">
      <c r="A4" t="s">
        <v>10</v>
      </c>
      <c r="B4" t="s">
        <v>7</v>
      </c>
      <c r="C4" s="1">
        <v>46149.454216358026</v>
      </c>
      <c r="D4" s="1">
        <v>46147.965258873453</v>
      </c>
      <c r="E4" s="1">
        <v>46147.937293016977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9513-830B-4369-B4DE-8F2D0B675CC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ECD6-7666-4463-8928-403DADD993A1}">
  <dimension ref="A1:Q1001"/>
  <sheetViews>
    <sheetView topLeftCell="F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19.5546875" bestFit="1" customWidth="1"/>
    <col min="14" max="14" width="20.88671875" bestFit="1" customWidth="1"/>
    <col min="15" max="15" width="12.109375" bestFit="1" customWidth="1"/>
    <col min="16" max="16" width="10.109375" bestFit="1" customWidth="1"/>
    <col min="17" max="17" width="22.44140625" bestFit="1" customWidth="1"/>
    <col min="18" max="19"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D774F-ABBC-443E-9E32-655203A8BB4D}">
  <dimension ref="A1:E71"/>
  <sheetViews>
    <sheetView workbookViewId="0">
      <selection activeCell="G19" sqref="G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DAC7-D0D7-46FF-847D-ED5A56999C65}">
  <dimension ref="A2:I58"/>
  <sheetViews>
    <sheetView workbookViewId="0">
      <selection activeCell="D7" sqref="D7"/>
    </sheetView>
  </sheetViews>
  <sheetFormatPr defaultRowHeight="14.4" x14ac:dyDescent="0.3"/>
  <cols>
    <col min="1" max="3" width="14.44140625" bestFit="1" customWidth="1"/>
    <col min="4" max="4" width="14.21875" bestFit="1" customWidth="1"/>
    <col min="5" max="5" width="16.44140625" bestFit="1" customWidth="1"/>
    <col min="6" max="6" width="27.109375" bestFit="1" customWidth="1"/>
    <col min="7" max="7" width="15.5546875" bestFit="1" customWidth="1"/>
    <col min="8" max="8" width="14.44140625" bestFit="1" customWidth="1"/>
    <col min="9" max="9" width="12.5546875" bestFit="1" customWidth="1"/>
    <col min="10" max="10" width="14.44140625" bestFit="1" customWidth="1"/>
    <col min="11" max="11" width="9.5546875" customWidth="1"/>
    <col min="12" max="13" width="2" bestFit="1" customWidth="1"/>
    <col min="14" max="103" width="3" bestFit="1" customWidth="1"/>
    <col min="104" max="1003" width="4" bestFit="1" customWidth="1"/>
    <col min="1004" max="1004" width="5" bestFit="1" customWidth="1"/>
    <col min="1005" max="1005" width="10.77734375" bestFit="1" customWidth="1"/>
  </cols>
  <sheetData>
    <row r="2" spans="1:7" x14ac:dyDescent="0.3">
      <c r="A2" s="4" t="s">
        <v>932</v>
      </c>
      <c r="B2" t="s">
        <v>943</v>
      </c>
      <c r="D2" t="s">
        <v>943</v>
      </c>
      <c r="E2" t="s">
        <v>950</v>
      </c>
      <c r="F2" t="s">
        <v>944</v>
      </c>
      <c r="G2" t="s">
        <v>949</v>
      </c>
    </row>
    <row r="3" spans="1:7" x14ac:dyDescent="0.3">
      <c r="A3" s="5" t="s">
        <v>842</v>
      </c>
      <c r="B3" s="9">
        <v>34078</v>
      </c>
      <c r="D3" s="9">
        <v>586176</v>
      </c>
      <c r="E3" s="9">
        <v>4652.1904999999997</v>
      </c>
      <c r="F3" s="10">
        <v>5.7222222222222223</v>
      </c>
      <c r="G3" s="10">
        <v>126</v>
      </c>
    </row>
    <row r="4" spans="1:7" x14ac:dyDescent="0.3">
      <c r="A4" s="5" t="s">
        <v>621</v>
      </c>
      <c r="B4" s="9">
        <v>80152</v>
      </c>
    </row>
    <row r="5" spans="1:7" x14ac:dyDescent="0.3">
      <c r="A5" s="5" t="s">
        <v>747</v>
      </c>
      <c r="B5" s="9">
        <v>55334</v>
      </c>
    </row>
    <row r="6" spans="1:7" x14ac:dyDescent="0.3">
      <c r="A6" s="5" t="s">
        <v>837</v>
      </c>
      <c r="B6" s="9">
        <v>28983</v>
      </c>
    </row>
    <row r="7" spans="1:7" x14ac:dyDescent="0.3">
      <c r="A7" s="5" t="s">
        <v>840</v>
      </c>
      <c r="B7" s="9">
        <v>46378</v>
      </c>
      <c r="D7" s="4" t="s">
        <v>932</v>
      </c>
      <c r="E7" t="s">
        <v>943</v>
      </c>
    </row>
    <row r="8" spans="1:7" x14ac:dyDescent="0.3">
      <c r="A8" s="5" t="s">
        <v>841</v>
      </c>
      <c r="B8" s="9">
        <v>62662</v>
      </c>
      <c r="D8" s="5" t="s">
        <v>885</v>
      </c>
      <c r="E8" s="9">
        <v>96701</v>
      </c>
    </row>
    <row r="9" spans="1:7" x14ac:dyDescent="0.3">
      <c r="A9" s="5" t="s">
        <v>839</v>
      </c>
      <c r="B9" s="9">
        <v>49120</v>
      </c>
      <c r="D9" s="5" t="s">
        <v>905</v>
      </c>
      <c r="E9" s="9">
        <v>88944</v>
      </c>
    </row>
    <row r="10" spans="1:7" x14ac:dyDescent="0.3">
      <c r="A10" s="5" t="s">
        <v>795</v>
      </c>
      <c r="B10" s="9">
        <v>36883</v>
      </c>
      <c r="D10" s="5" t="s">
        <v>914</v>
      </c>
      <c r="E10" s="9">
        <v>68292</v>
      </c>
    </row>
    <row r="11" spans="1:7" x14ac:dyDescent="0.3">
      <c r="A11" s="5" t="s">
        <v>843</v>
      </c>
      <c r="B11" s="9">
        <v>42504</v>
      </c>
      <c r="D11" s="5" t="s">
        <v>858</v>
      </c>
      <c r="E11" s="9">
        <v>121905</v>
      </c>
    </row>
    <row r="12" spans="1:7" x14ac:dyDescent="0.3">
      <c r="A12" s="5" t="s">
        <v>845</v>
      </c>
      <c r="B12" s="9">
        <v>43773</v>
      </c>
      <c r="D12" s="5" t="s">
        <v>894</v>
      </c>
      <c r="E12" s="9">
        <v>73964</v>
      </c>
    </row>
    <row r="13" spans="1:7" x14ac:dyDescent="0.3">
      <c r="A13" s="5" t="s">
        <v>822</v>
      </c>
      <c r="B13" s="9">
        <v>42970</v>
      </c>
      <c r="D13" s="5" t="s">
        <v>933</v>
      </c>
      <c r="E13" s="9">
        <v>449806</v>
      </c>
      <c r="G13" s="5"/>
    </row>
    <row r="14" spans="1:7" x14ac:dyDescent="0.3">
      <c r="A14" s="5" t="s">
        <v>836</v>
      </c>
      <c r="B14" s="9">
        <v>63339</v>
      </c>
      <c r="G14" s="5"/>
    </row>
    <row r="15" spans="1:7" x14ac:dyDescent="0.3">
      <c r="A15" s="5" t="s">
        <v>933</v>
      </c>
      <c r="B15" s="9">
        <v>586176</v>
      </c>
      <c r="G15" s="5"/>
    </row>
    <row r="19" spans="1:9" x14ac:dyDescent="0.3">
      <c r="D19" s="4" t="s">
        <v>932</v>
      </c>
      <c r="E19" t="s">
        <v>945</v>
      </c>
      <c r="G19">
        <f>CORREL(orders[Quantity],orders[diff_order_delivery])</f>
        <v>3.4781737193018245E-3</v>
      </c>
      <c r="I19" t="s">
        <v>946</v>
      </c>
    </row>
    <row r="20" spans="1:9" x14ac:dyDescent="0.3">
      <c r="A20" s="4" t="s">
        <v>932</v>
      </c>
      <c r="B20" t="s">
        <v>943</v>
      </c>
      <c r="D20" s="5" t="s">
        <v>242</v>
      </c>
      <c r="E20" s="10">
        <v>3</v>
      </c>
      <c r="I20" t="s">
        <v>947</v>
      </c>
    </row>
    <row r="21" spans="1:9" x14ac:dyDescent="0.3">
      <c r="A21" s="5" t="s">
        <v>863</v>
      </c>
      <c r="B21" s="9">
        <v>105732</v>
      </c>
      <c r="D21" s="5" t="s">
        <v>330</v>
      </c>
      <c r="E21" s="10">
        <v>4</v>
      </c>
      <c r="I21" t="s">
        <v>948</v>
      </c>
    </row>
    <row r="22" spans="1:9" x14ac:dyDescent="0.3">
      <c r="A22" s="5" t="s">
        <v>874</v>
      </c>
      <c r="B22" s="9">
        <v>11610</v>
      </c>
      <c r="D22" s="5" t="s">
        <v>218</v>
      </c>
      <c r="E22" s="10">
        <v>3</v>
      </c>
    </row>
    <row r="23" spans="1:9" x14ac:dyDescent="0.3">
      <c r="A23" s="5" t="s">
        <v>794</v>
      </c>
      <c r="B23" s="9">
        <v>60640</v>
      </c>
      <c r="D23" s="5" t="s">
        <v>152</v>
      </c>
      <c r="E23" s="10">
        <v>4</v>
      </c>
    </row>
    <row r="24" spans="1:9" x14ac:dyDescent="0.3">
      <c r="A24" s="5" t="s">
        <v>859</v>
      </c>
      <c r="B24" s="9">
        <v>286898</v>
      </c>
      <c r="D24" s="5" t="s">
        <v>63</v>
      </c>
      <c r="E24" s="10">
        <v>3</v>
      </c>
    </row>
    <row r="25" spans="1:9" x14ac:dyDescent="0.3">
      <c r="A25" s="5" t="s">
        <v>865</v>
      </c>
      <c r="B25" s="9">
        <v>121296</v>
      </c>
      <c r="D25" s="5" t="s">
        <v>362</v>
      </c>
      <c r="E25" s="10">
        <v>4</v>
      </c>
      <c r="G25" s="4" t="s">
        <v>932</v>
      </c>
      <c r="H25" t="s">
        <v>943</v>
      </c>
    </row>
    <row r="26" spans="1:9" x14ac:dyDescent="0.3">
      <c r="A26" s="5" t="s">
        <v>933</v>
      </c>
      <c r="B26" s="9">
        <v>586176</v>
      </c>
      <c r="D26" s="5" t="s">
        <v>158</v>
      </c>
      <c r="E26" s="10">
        <v>7</v>
      </c>
      <c r="G26" s="5" t="s">
        <v>699</v>
      </c>
      <c r="H26" s="6">
        <v>586176</v>
      </c>
    </row>
    <row r="27" spans="1:9" x14ac:dyDescent="0.3">
      <c r="D27" s="5" t="s">
        <v>318</v>
      </c>
      <c r="E27" s="10">
        <v>4</v>
      </c>
      <c r="G27" s="5" t="s">
        <v>698</v>
      </c>
      <c r="H27" s="6">
        <v>674634</v>
      </c>
    </row>
    <row r="28" spans="1:9" x14ac:dyDescent="0.3">
      <c r="D28" s="5" t="s">
        <v>134</v>
      </c>
      <c r="E28" s="10">
        <v>5</v>
      </c>
      <c r="G28" s="5" t="s">
        <v>707</v>
      </c>
      <c r="H28" s="6">
        <v>408194</v>
      </c>
    </row>
    <row r="29" spans="1:9" x14ac:dyDescent="0.3">
      <c r="D29" s="5" t="s">
        <v>508</v>
      </c>
      <c r="E29" s="10">
        <v>4</v>
      </c>
      <c r="G29" s="5" t="s">
        <v>829</v>
      </c>
      <c r="H29" s="6">
        <v>313783</v>
      </c>
    </row>
    <row r="30" spans="1:9" x14ac:dyDescent="0.3">
      <c r="D30" s="5" t="s">
        <v>933</v>
      </c>
      <c r="E30" s="10">
        <v>41</v>
      </c>
      <c r="G30" s="5" t="s">
        <v>701</v>
      </c>
      <c r="H30" s="6">
        <v>574682</v>
      </c>
    </row>
    <row r="31" spans="1:9" x14ac:dyDescent="0.3">
      <c r="G31" s="5" t="s">
        <v>794</v>
      </c>
      <c r="H31" s="6">
        <v>631585</v>
      </c>
    </row>
    <row r="32" spans="1:9" x14ac:dyDescent="0.3">
      <c r="G32" s="5" t="s">
        <v>620</v>
      </c>
      <c r="H32" s="6">
        <v>331930</v>
      </c>
    </row>
    <row r="33" spans="1:8" x14ac:dyDescent="0.3">
      <c r="A33" s="4" t="s">
        <v>932</v>
      </c>
      <c r="B33" t="s">
        <v>943</v>
      </c>
      <c r="G33" s="5" t="s">
        <v>933</v>
      </c>
      <c r="H33" s="6">
        <v>3520984</v>
      </c>
    </row>
    <row r="34" spans="1:8" x14ac:dyDescent="0.3">
      <c r="A34" s="5">
        <v>0</v>
      </c>
      <c r="B34" s="9">
        <v>11479</v>
      </c>
    </row>
    <row r="35" spans="1:8" x14ac:dyDescent="0.3">
      <c r="A35" s="5">
        <v>1</v>
      </c>
      <c r="B35" s="9">
        <v>19257</v>
      </c>
    </row>
    <row r="36" spans="1:8" x14ac:dyDescent="0.3">
      <c r="A36" s="5">
        <v>2</v>
      </c>
      <c r="B36" s="9">
        <v>13482</v>
      </c>
    </row>
    <row r="37" spans="1:8" x14ac:dyDescent="0.3">
      <c r="A37" s="5">
        <v>3</v>
      </c>
      <c r="B37" s="9">
        <v>30928</v>
      </c>
    </row>
    <row r="38" spans="1:8" x14ac:dyDescent="0.3">
      <c r="A38" s="5">
        <v>4</v>
      </c>
      <c r="B38" s="9">
        <v>13160</v>
      </c>
    </row>
    <row r="39" spans="1:8" x14ac:dyDescent="0.3">
      <c r="A39" s="5">
        <v>5</v>
      </c>
      <c r="B39" s="9">
        <v>39129</v>
      </c>
    </row>
    <row r="40" spans="1:8" x14ac:dyDescent="0.3">
      <c r="A40" s="5">
        <v>6</v>
      </c>
      <c r="B40" s="9">
        <v>53398</v>
      </c>
    </row>
    <row r="41" spans="1:8" x14ac:dyDescent="0.3">
      <c r="A41" s="5">
        <v>7</v>
      </c>
      <c r="B41" s="9">
        <v>21923</v>
      </c>
    </row>
    <row r="42" spans="1:8" x14ac:dyDescent="0.3">
      <c r="A42" s="5">
        <v>8</v>
      </c>
      <c r="B42" s="9">
        <v>15081</v>
      </c>
    </row>
    <row r="43" spans="1:8" x14ac:dyDescent="0.3">
      <c r="A43" s="5">
        <v>9</v>
      </c>
      <c r="B43" s="9">
        <v>25659</v>
      </c>
    </row>
    <row r="44" spans="1:8" x14ac:dyDescent="0.3">
      <c r="A44" s="5">
        <v>10</v>
      </c>
      <c r="B44" s="9">
        <v>5056</v>
      </c>
    </row>
    <row r="45" spans="1:8" x14ac:dyDescent="0.3">
      <c r="A45" s="5">
        <v>11</v>
      </c>
      <c r="B45" s="9">
        <v>14102</v>
      </c>
    </row>
    <row r="46" spans="1:8" x14ac:dyDescent="0.3">
      <c r="A46" s="5">
        <v>12</v>
      </c>
      <c r="B46" s="9">
        <v>33538</v>
      </c>
    </row>
    <row r="47" spans="1:8" x14ac:dyDescent="0.3">
      <c r="A47" s="5">
        <v>13</v>
      </c>
      <c r="B47" s="9">
        <v>28562</v>
      </c>
    </row>
    <row r="48" spans="1:8" x14ac:dyDescent="0.3">
      <c r="A48" s="5">
        <v>14</v>
      </c>
      <c r="B48" s="9">
        <v>23771</v>
      </c>
    </row>
    <row r="49" spans="1:2" x14ac:dyDescent="0.3">
      <c r="A49" s="5">
        <v>15</v>
      </c>
      <c r="B49" s="9">
        <v>17469</v>
      </c>
    </row>
    <row r="50" spans="1:2" x14ac:dyDescent="0.3">
      <c r="A50" s="5">
        <v>16</v>
      </c>
      <c r="B50" s="9">
        <v>19260</v>
      </c>
    </row>
    <row r="51" spans="1:2" x14ac:dyDescent="0.3">
      <c r="A51" s="5">
        <v>17</v>
      </c>
      <c r="B51" s="9">
        <v>10280</v>
      </c>
    </row>
    <row r="52" spans="1:2" x14ac:dyDescent="0.3">
      <c r="A52" s="5">
        <v>18</v>
      </c>
      <c r="B52" s="9">
        <v>51674</v>
      </c>
    </row>
    <row r="53" spans="1:2" x14ac:dyDescent="0.3">
      <c r="A53" s="5">
        <v>19</v>
      </c>
      <c r="B53" s="9">
        <v>44137</v>
      </c>
    </row>
    <row r="54" spans="1:2" x14ac:dyDescent="0.3">
      <c r="A54" s="5">
        <v>20</v>
      </c>
      <c r="B54" s="9">
        <v>22228</v>
      </c>
    </row>
    <row r="55" spans="1:2" x14ac:dyDescent="0.3">
      <c r="A55" s="5">
        <v>21</v>
      </c>
      <c r="B55" s="9">
        <v>28534</v>
      </c>
    </row>
    <row r="56" spans="1:2" x14ac:dyDescent="0.3">
      <c r="A56" s="5">
        <v>22</v>
      </c>
      <c r="B56" s="9">
        <v>24529</v>
      </c>
    </row>
    <row r="57" spans="1:2" x14ac:dyDescent="0.3">
      <c r="A57" s="5">
        <v>23</v>
      </c>
      <c r="B57" s="9">
        <v>19540</v>
      </c>
    </row>
    <row r="58" spans="1:2" x14ac:dyDescent="0.3">
      <c r="A58" s="5" t="s">
        <v>933</v>
      </c>
      <c r="B58" s="9">
        <v>586176</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F3072-F011-4A81-8069-31D634E25286}">
  <dimension ref="F1"/>
  <sheetViews>
    <sheetView tabSelected="1" topLeftCell="A3" zoomScale="78" workbookViewId="0">
      <selection activeCell="Y21" sqref="Y21"/>
    </sheetView>
  </sheetViews>
  <sheetFormatPr defaultRowHeight="14.4" x14ac:dyDescent="0.3"/>
  <cols>
    <col min="1" max="16384" width="8.88671875" style="7"/>
  </cols>
  <sheetData>
    <row r="1" spans="6:6" x14ac:dyDescent="0.3">
      <c r="F1"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135A2B8-0E74-4226-B0C6-41D48068974B}">
  <ds:schemaRefs/>
</ds:datastoreItem>
</file>

<file path=customXml/itemProps2.xml><?xml version="1.0" encoding="utf-8"?>
<ds:datastoreItem xmlns:ds="http://schemas.openxmlformats.org/officeDocument/2006/customXml" ds:itemID="{0C845257-941D-46B3-A29C-EB645CB0271C}">
  <ds:schemaRefs/>
</ds:datastoreItem>
</file>

<file path=customXml/itemProps3.xml><?xml version="1.0" encoding="utf-8"?>
<ds:datastoreItem xmlns:ds="http://schemas.openxmlformats.org/officeDocument/2006/customXml" ds:itemID="{584A0271-C5F6-4BC4-8B28-8550D236A9FB}">
  <ds:schemaRefs/>
</ds:datastoreItem>
</file>

<file path=customXml/itemProps4.xml><?xml version="1.0" encoding="utf-8"?>
<ds:datastoreItem xmlns:ds="http://schemas.openxmlformats.org/officeDocument/2006/customXml" ds:itemID="{AD64E589-3A74-462B-AFAC-F44E644FE2C8}">
  <ds:schemaRefs/>
</ds:datastoreItem>
</file>

<file path=customXml/itemProps5.xml><?xml version="1.0" encoding="utf-8"?>
<ds:datastoreItem xmlns:ds="http://schemas.openxmlformats.org/officeDocument/2006/customXml" ds:itemID="{CD5D9F62-1802-4B03-A537-87F6273274F2}">
  <ds:schemaRefs/>
</ds:datastoreItem>
</file>

<file path=customXml/itemProps6.xml><?xml version="1.0" encoding="utf-8"?>
<ds:datastoreItem xmlns:ds="http://schemas.openxmlformats.org/officeDocument/2006/customXml" ds:itemID="{BFE7B328-5551-40E0-A0D8-10818AA3A98F}">
  <ds:schemaRefs/>
</ds:datastoreItem>
</file>

<file path=customXml/itemProps7.xml><?xml version="1.0" encoding="utf-8"?>
<ds:datastoreItem xmlns:ds="http://schemas.openxmlformats.org/officeDocument/2006/customXml" ds:itemID="{35ABA360-672F-4B04-8426-84FD20128A68}">
  <ds:schemaRefs/>
</ds:datastoreItem>
</file>

<file path=customXml/itemProps8.xml><?xml version="1.0" encoding="utf-8"?>
<ds:datastoreItem xmlns:ds="http://schemas.openxmlformats.org/officeDocument/2006/customXml" ds:itemID="{4141BAFC-4795-4CF5-984C-1971A6B7F452}">
  <ds:schemaRefs/>
</ds:datastoreItem>
</file>

<file path=customXml/itemProps9.xml><?xml version="1.0" encoding="utf-8"?>
<ds:datastoreItem xmlns:ds="http://schemas.openxmlformats.org/officeDocument/2006/customXml" ds:itemID="{9923B5AA-9DE1-456C-84D2-4B3EA3794CE5}">
  <ds:schemaRefs/>
</ds:datastoreItem>
</file>

<file path=customXml/itemProps10.xml><?xml version="1.0" encoding="utf-8"?>
<ds:datastoreItem xmlns:ds="http://schemas.openxmlformats.org/officeDocument/2006/customXml" ds:itemID="{AEABE4C0-D1D1-4ED8-9F1E-87329540700B}">
  <ds:schemaRefs/>
</ds:datastoreItem>
</file>

<file path=customXml/itemProps11.xml><?xml version="1.0" encoding="utf-8"?>
<ds:datastoreItem xmlns:ds="http://schemas.openxmlformats.org/officeDocument/2006/customXml" ds:itemID="{F9DD2C03-24F4-4886-A7FB-6865F06C7230}">
  <ds:schemaRefs/>
</ds:datastoreItem>
</file>

<file path=customXml/itemProps12.xml><?xml version="1.0" encoding="utf-8"?>
<ds:datastoreItem xmlns:ds="http://schemas.openxmlformats.org/officeDocument/2006/customXml" ds:itemID="{7C0B868C-F99B-4E7C-B910-77C4867A81E8}">
  <ds:schemaRefs/>
</ds:datastoreItem>
</file>

<file path=customXml/itemProps13.xml><?xml version="1.0" encoding="utf-8"?>
<ds:datastoreItem xmlns:ds="http://schemas.openxmlformats.org/officeDocument/2006/customXml" ds:itemID="{0DC05D9F-3A05-4E69-91EC-F4CD3AD1605F}">
  <ds:schemaRefs/>
</ds:datastoreItem>
</file>

<file path=customXml/itemProps14.xml><?xml version="1.0" encoding="utf-8"?>
<ds:datastoreItem xmlns:ds="http://schemas.openxmlformats.org/officeDocument/2006/customXml" ds:itemID="{63E13F62-C8E8-4914-B043-C2179A6E12BA}">
  <ds:schemaRefs/>
</ds:datastoreItem>
</file>

<file path=customXml/itemProps15.xml><?xml version="1.0" encoding="utf-8"?>
<ds:datastoreItem xmlns:ds="http://schemas.openxmlformats.org/officeDocument/2006/customXml" ds:itemID="{AE349332-39D8-4B65-9D4E-6424CC562330}">
  <ds:schemaRefs>
    <ds:schemaRef ds:uri="http://schemas.microsoft.com/DataMashup"/>
  </ds:schemaRefs>
</ds:datastoreItem>
</file>

<file path=customXml/itemProps16.xml><?xml version="1.0" encoding="utf-8"?>
<ds:datastoreItem xmlns:ds="http://schemas.openxmlformats.org/officeDocument/2006/customXml" ds:itemID="{B592F96D-E31B-4C1C-8E90-C71D68069C46}">
  <ds:schemaRefs/>
</ds:datastoreItem>
</file>

<file path=customXml/itemProps17.xml><?xml version="1.0" encoding="utf-8"?>
<ds:datastoreItem xmlns:ds="http://schemas.openxmlformats.org/officeDocument/2006/customXml" ds:itemID="{357F0682-2F1D-44B6-96DE-AE08DDDAD9B0}">
  <ds:schemaRefs/>
</ds:datastoreItem>
</file>

<file path=customXml/itemProps18.xml><?xml version="1.0" encoding="utf-8"?>
<ds:datastoreItem xmlns:ds="http://schemas.openxmlformats.org/officeDocument/2006/customXml" ds:itemID="{D90FEE0D-041F-443C-A38E-0D38FA7C0C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analyst projects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Borath ShivaKumar</dc:creator>
  <cp:lastModifiedBy>Borath ShivaKumar</cp:lastModifiedBy>
  <dcterms:created xsi:type="dcterms:W3CDTF">2026-05-05T17:40:12Z</dcterms:created>
  <dcterms:modified xsi:type="dcterms:W3CDTF">2026-05-09T18:27:25Z</dcterms:modified>
</cp:coreProperties>
</file>